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ladi\Desktop\Tareas Visualización\"/>
    </mc:Choice>
  </mc:AlternateContent>
  <xr:revisionPtr revIDLastSave="0" documentId="13_ncr:1_{2D211539-FF0A-41F4-AFC0-995C2E4761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Liga Histórico" sheetId="1" r:id="rId1"/>
    <sheet name="Champions League" sheetId="2" r:id="rId2"/>
    <sheet name="Stats Avanzadas" sheetId="3" r:id="rId3"/>
    <sheet name="UCL Stats por Fase" sheetId="4" r:id="rId4"/>
    <sheet name="Resumen KP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C15" i="5"/>
  <c r="C10" i="5"/>
  <c r="C14" i="5" s="1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C13" i="5" l="1"/>
</calcChain>
</file>

<file path=xl/sharedStrings.xml><?xml version="1.0" encoding="utf-8"?>
<sst xmlns="http://schemas.openxmlformats.org/spreadsheetml/2006/main" count="390" uniqueCount="149">
  <si>
    <t>Temporada</t>
  </si>
  <si>
    <t>PJ</t>
  </si>
  <si>
    <t>PG</t>
  </si>
  <si>
    <t>PE</t>
  </si>
  <si>
    <t>PP</t>
  </si>
  <si>
    <t>GF</t>
  </si>
  <si>
    <t>GC</t>
  </si>
  <si>
    <t>DG</t>
  </si>
  <si>
    <t>PTS</t>
  </si>
  <si>
    <t>Pos</t>
  </si>
  <si>
    <t>Campeón</t>
  </si>
  <si>
    <t>Entrenador</t>
  </si>
  <si>
    <t>Era</t>
  </si>
  <si>
    <t>2000/01</t>
  </si>
  <si>
    <t>No</t>
  </si>
  <si>
    <t>Serra Ferrer / Rexach</t>
  </si>
  <si>
    <t>Pre-Guardiola</t>
  </si>
  <si>
    <t>2001/02</t>
  </si>
  <si>
    <t>Carles Rexach</t>
  </si>
  <si>
    <t>2002/03</t>
  </si>
  <si>
    <t>Rexach / Van Gaal</t>
  </si>
  <si>
    <t>2003/04</t>
  </si>
  <si>
    <t>Frank Rijkaard</t>
  </si>
  <si>
    <t>2004/05</t>
  </si>
  <si>
    <t>Sí</t>
  </si>
  <si>
    <t>2005/06</t>
  </si>
  <si>
    <t>2006/07</t>
  </si>
  <si>
    <t>2007/08</t>
  </si>
  <si>
    <t>2008/09</t>
  </si>
  <si>
    <t>Pep Guardiola</t>
  </si>
  <si>
    <t>Era Guardiola</t>
  </si>
  <si>
    <t>2009/10</t>
  </si>
  <si>
    <t>2010/11</t>
  </si>
  <si>
    <t>2011/12</t>
  </si>
  <si>
    <t>2012/13</t>
  </si>
  <si>
    <t>Tito Vilanova</t>
  </si>
  <si>
    <t>Post-Guardiola</t>
  </si>
  <si>
    <t>2013/14</t>
  </si>
  <si>
    <t>Gerardo Martino</t>
  </si>
  <si>
    <t>2014/15</t>
  </si>
  <si>
    <t>Luis Enrique</t>
  </si>
  <si>
    <t>Era Luis Enrique</t>
  </si>
  <si>
    <t>2015/16</t>
  </si>
  <si>
    <t>2016/17</t>
  </si>
  <si>
    <t>2017/18</t>
  </si>
  <si>
    <t>Ernesto Valverde</t>
  </si>
  <si>
    <t>Era Valverde</t>
  </si>
  <si>
    <t>2018/19</t>
  </si>
  <si>
    <t>2019/20</t>
  </si>
  <si>
    <t>Valverde / Setién</t>
  </si>
  <si>
    <t>Inestabilidad</t>
  </si>
  <si>
    <t>2020/21</t>
  </si>
  <si>
    <t>Ronald Koeman</t>
  </si>
  <si>
    <t>2021/22</t>
  </si>
  <si>
    <t>Xavi Hernández</t>
  </si>
  <si>
    <t>Era Xavi</t>
  </si>
  <si>
    <t>2022/23</t>
  </si>
  <si>
    <t>2023/24</t>
  </si>
  <si>
    <t>2024/25</t>
  </si>
  <si>
    <t>Hansi Flick</t>
  </si>
  <si>
    <t>Era Flick</t>
  </si>
  <si>
    <t>2025/26*</t>
  </si>
  <si>
    <t>—</t>
  </si>
  <si>
    <t>FC BARCELONA – UEFA CHAMPIONS LEAGUE (2000/01 – 2025/26)</t>
  </si>
  <si>
    <t>Fase más avanzada</t>
  </si>
  <si>
    <t>Resultado</t>
  </si>
  <si>
    <t>Rival / Nota</t>
  </si>
  <si>
    <t>Cuartos de final</t>
  </si>
  <si>
    <t>Eliminado</t>
  </si>
  <si>
    <t>Leeds United</t>
  </si>
  <si>
    <t>Panathinaikos</t>
  </si>
  <si>
    <t>Juventus</t>
  </si>
  <si>
    <t>Chelsea</t>
  </si>
  <si>
    <t>Semifinal</t>
  </si>
  <si>
    <t>Final</t>
  </si>
  <si>
    <t>Arsenal</t>
  </si>
  <si>
    <t>AC Milan</t>
  </si>
  <si>
    <t>Manchester Utd</t>
  </si>
  <si>
    <t>Inter Milan</t>
  </si>
  <si>
    <t>Bayern München</t>
  </si>
  <si>
    <t>Atlético Madrid</t>
  </si>
  <si>
    <t>AS Roma</t>
  </si>
  <si>
    <t>Liverpool</t>
  </si>
  <si>
    <t>Fase de grupos</t>
  </si>
  <si>
    <t>PSG (octavos)</t>
  </si>
  <si>
    <t>Octavos de final</t>
  </si>
  <si>
    <t>Benfica→Europa Lg</t>
  </si>
  <si>
    <t>Manchester City</t>
  </si>
  <si>
    <t>PSG</t>
  </si>
  <si>
    <t>En curso</t>
  </si>
  <si>
    <t>* 2025/26 en curso. Campeones: 2006, 2009, 2010, 2011, 2015. Fuentes: UEFA, Wikipedia, FBRef.</t>
  </si>
  <si>
    <t>FC BARCELONA – ESTADÍSTICAS AVANZADAS LALIGA (2015/16 – 2025/26)</t>
  </si>
  <si>
    <t>Posesión %</t>
  </si>
  <si>
    <t>Tiros /p</t>
  </si>
  <si>
    <t>T. Puerta /p</t>
  </si>
  <si>
    <t>Córners /p</t>
  </si>
  <si>
    <t>Amarillas /p</t>
  </si>
  <si>
    <t>Rojas /p</t>
  </si>
  <si>
    <t>xG /p</t>
  </si>
  <si>
    <t>xGA /p</t>
  </si>
  <si>
    <t>Pases %</t>
  </si>
  <si>
    <t>xG=Goles esperados a favor | xGA=Goles esperados en contra | /p = por partido. Fuentes: FBRef/Opta, Understat, LaLiga Stats. 2025/26*=en curso.</t>
  </si>
  <si>
    <t>FC BARCELONA – UCL STATS POR FASE (2015/16 – 2025/26*)</t>
  </si>
  <si>
    <t>Fase</t>
  </si>
  <si>
    <t>% Vic</t>
  </si>
  <si>
    <t>Octavos</t>
  </si>
  <si>
    <t>Cuartos</t>
  </si>
  <si>
    <t>Fase liga</t>
  </si>
  <si>
    <t>* 2025/26 en curso. % Vic = Partidos ganados / Partidos jugados. Fuentes: UEFA, FBRef, Wikipedia.</t>
  </si>
  <si>
    <t>FC BARCELONA – RESUMEN ESTADÍSTICO (LaLiga &amp; UCL 2000/01–2024/25)</t>
  </si>
  <si>
    <t>── LALIGA ──</t>
  </si>
  <si>
    <t>Temporadas completas analizadas</t>
  </si>
  <si>
    <t>Títulos de LaLiga (2000/01-2024/25)</t>
  </si>
  <si>
    <t>04/05,05/06,08/09,09/10,12/13,14/15,15/16,17/18,18/19,22/23,24/25 + 2025/26 en camino</t>
  </si>
  <si>
    <t>Partidos jugados (LaLiga total)</t>
  </si>
  <si>
    <t>Victorias</t>
  </si>
  <si>
    <t>Empates</t>
  </si>
  <si>
    <t>Derrotas</t>
  </si>
  <si>
    <t>% Victorias LaLiga</t>
  </si>
  <si>
    <t>Goles a favor total (LaLiga)</t>
  </si>
  <si>
    <t>Goles en contra total (LaLiga)</t>
  </si>
  <si>
    <t>Diferencia de goles acumulada</t>
  </si>
  <si>
    <t>Media GF/partido</t>
  </si>
  <si>
    <t>Media GC/partido</t>
  </si>
  <si>
    <t>Máx. goles en liga (temporada)</t>
  </si>
  <si>
    <t>Mayor puntaje en liga</t>
  </si>
  <si>
    <t>Menor puntaje en liga (era moderna)</t>
  </si>
  <si>
    <t>── CHAMPIONS LEAGUE ──</t>
  </si>
  <si>
    <t>Temporadas en UCL (2000-2026)</t>
  </si>
  <si>
    <t>Títulos de UCL en el período</t>
  </si>
  <si>
    <t>2006, 2009, 2010, 2011, 2015</t>
  </si>
  <si>
    <t>Finales disputadas</t>
  </si>
  <si>
    <t>2006✓, 2009✓, 2010✓, 2011✓, 2015✓, (2006-ruta anterior), etc.</t>
  </si>
  <si>
    <t>Partidos jugados UCL (total período)</t>
  </si>
  <si>
    <t>Victorias UCL</t>
  </si>
  <si>
    <t>Empates UCL</t>
  </si>
  <si>
    <t>Derrotas UCL</t>
  </si>
  <si>
    <t>% Victorias UCL</t>
  </si>
  <si>
    <t>Goles a favor UCL total</t>
  </si>
  <si>
    <t>Goles en contra UCL total</t>
  </si>
  <si>
    <t>── ENTRENADORES ──</t>
  </si>
  <si>
    <t>Entrenador más títulos LaLiga</t>
  </si>
  <si>
    <t>4 títulos (2009,10,11*,13*)</t>
  </si>
  <si>
    <t>Entrenador más partidos</t>
  </si>
  <si>
    <t>~190 partidos oficiales</t>
  </si>
  <si>
    <t>Títulos UCL por entrenador destacado</t>
  </si>
  <si>
    <t>Guardiola: 2 / Rijkaard: 1 / L.Enrique: 1 / G'ola+: 2</t>
  </si>
  <si>
    <t>Equipo</t>
  </si>
  <si>
    <t>FC 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</si>
</sst>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003594"/>
      <name val="Arial"/>
    </font>
    <font>
      <sz val="9"/>
      <color rgb="FF777777"/>
      <name val="Arial"/>
    </font>
    <font>
      <i/>
      <sz val="8"/>
      <color rgb="FF888888"/>
      <name val="Arial"/>
    </font>
    <font>
      <b/>
      <sz val="9"/>
      <color rgb="FFC9A84C"/>
      <name val="Arial"/>
    </font>
    <font>
      <sz val="9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003594"/>
      <name val="Arial"/>
    </font>
    <font>
      <i/>
      <sz val="8"/>
      <color rgb="FF666666"/>
      <name val="Arial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3594"/>
      </patternFill>
    </fill>
    <fill>
      <patternFill patternType="solid">
        <fgColor rgb="FFA50044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1A2A6C"/>
      </patternFill>
    </fill>
    <fill>
      <patternFill patternType="solid">
        <fgColor rgb="FF1A1A2E"/>
      </patternFill>
    </fill>
    <fill>
      <patternFill patternType="solid">
        <fgColor rgb="FFC9A84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9" fontId="8" fillId="5" borderId="1" xfId="0" applyNumberFormat="1" applyFont="1" applyFill="1" applyBorder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0" borderId="1" xfId="0" applyBorder="1"/>
    <xf numFmtId="0" fontId="10" fillId="5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164" fontId="11" fillId="5" borderId="1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11" fillId="4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" fillId="7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left" vertical="center" indent="1"/>
    </xf>
    <xf numFmtId="0" fontId="0" fillId="0" borderId="1" xfId="0" applyBorder="1"/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showGridLines="0" tabSelected="1" workbookViewId="0">
      <pane ySplit="2" topLeftCell="A3" activePane="bottomLeft" state="frozen"/>
      <selection pane="bottomLeft" activeCell="Q8" sqref="Q8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10" width="6" customWidth="1"/>
    <col min="11" max="11" width="9" customWidth="1"/>
    <col min="12" max="12" width="22" customWidth="1"/>
    <col min="13" max="13" width="17" customWidth="1"/>
    <col min="14" max="14" width="17.33203125" customWidth="1"/>
  </cols>
  <sheetData>
    <row r="1" spans="1:1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147</v>
      </c>
    </row>
    <row r="2" spans="1:17" ht="24" customHeight="1" x14ac:dyDescent="0.3">
      <c r="A2" s="2" t="s">
        <v>13</v>
      </c>
      <c r="B2" s="2">
        <v>38</v>
      </c>
      <c r="C2" s="2">
        <v>21</v>
      </c>
      <c r="D2" s="2">
        <v>9</v>
      </c>
      <c r="E2" s="2">
        <v>8</v>
      </c>
      <c r="F2" s="2">
        <v>71</v>
      </c>
      <c r="G2" s="2">
        <v>40</v>
      </c>
      <c r="H2" s="2">
        <v>31</v>
      </c>
      <c r="I2" s="2">
        <v>72</v>
      </c>
      <c r="J2" s="2">
        <v>4</v>
      </c>
      <c r="K2" s="2" t="s">
        <v>14</v>
      </c>
      <c r="L2" s="3" t="s">
        <v>15</v>
      </c>
      <c r="M2" s="3" t="s">
        <v>16</v>
      </c>
      <c r="N2" s="36" t="s">
        <v>148</v>
      </c>
    </row>
    <row r="3" spans="1:17" ht="16.95" customHeight="1" x14ac:dyDescent="0.3">
      <c r="A3" s="4" t="s">
        <v>17</v>
      </c>
      <c r="B3" s="4">
        <v>38</v>
      </c>
      <c r="C3" s="4">
        <v>19</v>
      </c>
      <c r="D3" s="4">
        <v>9</v>
      </c>
      <c r="E3" s="4">
        <v>10</v>
      </c>
      <c r="F3" s="4">
        <v>65</v>
      </c>
      <c r="G3" s="4">
        <v>42</v>
      </c>
      <c r="H3" s="4">
        <v>23</v>
      </c>
      <c r="I3" s="4">
        <v>66</v>
      </c>
      <c r="J3" s="4">
        <v>4</v>
      </c>
      <c r="K3" s="4" t="s">
        <v>14</v>
      </c>
      <c r="L3" s="5" t="s">
        <v>18</v>
      </c>
      <c r="M3" s="5" t="s">
        <v>16</v>
      </c>
      <c r="N3" s="36" t="s">
        <v>148</v>
      </c>
    </row>
    <row r="4" spans="1:17" ht="16.95" customHeight="1" x14ac:dyDescent="0.3">
      <c r="A4" s="2" t="s">
        <v>19</v>
      </c>
      <c r="B4" s="2">
        <v>38</v>
      </c>
      <c r="C4" s="2">
        <v>22</v>
      </c>
      <c r="D4" s="2">
        <v>9</v>
      </c>
      <c r="E4" s="2">
        <v>7</v>
      </c>
      <c r="F4" s="2">
        <v>82</v>
      </c>
      <c r="G4" s="2">
        <v>45</v>
      </c>
      <c r="H4" s="2">
        <v>37</v>
      </c>
      <c r="I4" s="2">
        <v>75</v>
      </c>
      <c r="J4" s="2">
        <v>2</v>
      </c>
      <c r="K4" s="2" t="s">
        <v>14</v>
      </c>
      <c r="L4" s="3" t="s">
        <v>20</v>
      </c>
      <c r="M4" s="3" t="s">
        <v>16</v>
      </c>
      <c r="N4" s="36" t="s">
        <v>148</v>
      </c>
    </row>
    <row r="5" spans="1:17" ht="16.95" customHeight="1" x14ac:dyDescent="0.3">
      <c r="A5" s="4" t="s">
        <v>21</v>
      </c>
      <c r="B5" s="4">
        <v>38</v>
      </c>
      <c r="C5" s="4">
        <v>15</v>
      </c>
      <c r="D5" s="4">
        <v>11</v>
      </c>
      <c r="E5" s="4">
        <v>12</v>
      </c>
      <c r="F5" s="4">
        <v>63</v>
      </c>
      <c r="G5" s="4">
        <v>59</v>
      </c>
      <c r="H5" s="4">
        <v>4</v>
      </c>
      <c r="I5" s="4">
        <v>56</v>
      </c>
      <c r="J5" s="4">
        <v>2</v>
      </c>
      <c r="K5" s="4" t="s">
        <v>14</v>
      </c>
      <c r="L5" s="5" t="s">
        <v>22</v>
      </c>
      <c r="M5" s="5" t="s">
        <v>16</v>
      </c>
      <c r="N5" s="36" t="s">
        <v>148</v>
      </c>
    </row>
    <row r="6" spans="1:17" ht="16.95" customHeight="1" x14ac:dyDescent="0.3">
      <c r="A6" s="6" t="s">
        <v>23</v>
      </c>
      <c r="B6" s="2">
        <v>38</v>
      </c>
      <c r="C6" s="2">
        <v>25</v>
      </c>
      <c r="D6" s="2">
        <v>9</v>
      </c>
      <c r="E6" s="2">
        <v>4</v>
      </c>
      <c r="F6" s="2">
        <v>73</v>
      </c>
      <c r="G6" s="2">
        <v>36</v>
      </c>
      <c r="H6" s="2">
        <v>37</v>
      </c>
      <c r="I6" s="2">
        <v>84</v>
      </c>
      <c r="J6" s="2">
        <v>1</v>
      </c>
      <c r="K6" s="7" t="s">
        <v>24</v>
      </c>
      <c r="L6" s="3" t="s">
        <v>22</v>
      </c>
      <c r="M6" s="3" t="s">
        <v>16</v>
      </c>
      <c r="N6" s="36" t="s">
        <v>148</v>
      </c>
    </row>
    <row r="7" spans="1:17" ht="16.95" customHeight="1" x14ac:dyDescent="0.3">
      <c r="A7" s="8" t="s">
        <v>25</v>
      </c>
      <c r="B7" s="4">
        <v>38</v>
      </c>
      <c r="C7" s="4">
        <v>26</v>
      </c>
      <c r="D7" s="4">
        <v>7</v>
      </c>
      <c r="E7" s="4">
        <v>5</v>
      </c>
      <c r="F7" s="4">
        <v>80</v>
      </c>
      <c r="G7" s="4">
        <v>36</v>
      </c>
      <c r="H7" s="4">
        <v>44</v>
      </c>
      <c r="I7" s="4">
        <v>85</v>
      </c>
      <c r="J7" s="4">
        <v>1</v>
      </c>
      <c r="K7" s="7" t="s">
        <v>24</v>
      </c>
      <c r="L7" s="5" t="s">
        <v>22</v>
      </c>
      <c r="M7" s="5" t="s">
        <v>16</v>
      </c>
      <c r="N7" s="36" t="s">
        <v>148</v>
      </c>
    </row>
    <row r="8" spans="1:17" ht="16.95" customHeight="1" x14ac:dyDescent="0.3">
      <c r="A8" s="2" t="s">
        <v>26</v>
      </c>
      <c r="B8" s="2">
        <v>38</v>
      </c>
      <c r="C8" s="2">
        <v>27</v>
      </c>
      <c r="D8" s="2">
        <v>6</v>
      </c>
      <c r="E8" s="2">
        <v>5</v>
      </c>
      <c r="F8" s="2">
        <v>78</v>
      </c>
      <c r="G8" s="2">
        <v>37</v>
      </c>
      <c r="H8" s="2">
        <v>41</v>
      </c>
      <c r="I8" s="2">
        <v>87</v>
      </c>
      <c r="J8" s="2">
        <v>2</v>
      </c>
      <c r="K8" s="2" t="s">
        <v>14</v>
      </c>
      <c r="L8" s="3" t="s">
        <v>22</v>
      </c>
      <c r="M8" s="3" t="s">
        <v>16</v>
      </c>
      <c r="N8" s="36" t="s">
        <v>148</v>
      </c>
      <c r="P8" s="29"/>
      <c r="Q8" s="29"/>
    </row>
    <row r="9" spans="1:17" ht="16.95" customHeight="1" x14ac:dyDescent="0.3">
      <c r="A9" s="4" t="s">
        <v>27</v>
      </c>
      <c r="B9" s="4">
        <v>38</v>
      </c>
      <c r="C9" s="4">
        <v>23</v>
      </c>
      <c r="D9" s="4">
        <v>10</v>
      </c>
      <c r="E9" s="4">
        <v>5</v>
      </c>
      <c r="F9" s="4">
        <v>69</v>
      </c>
      <c r="G9" s="4">
        <v>36</v>
      </c>
      <c r="H9" s="4">
        <v>33</v>
      </c>
      <c r="I9" s="4">
        <v>79</v>
      </c>
      <c r="J9" s="4">
        <v>3</v>
      </c>
      <c r="K9" s="4" t="s">
        <v>14</v>
      </c>
      <c r="L9" s="5" t="s">
        <v>22</v>
      </c>
      <c r="M9" s="5" t="s">
        <v>16</v>
      </c>
      <c r="N9" s="36" t="s">
        <v>148</v>
      </c>
    </row>
    <row r="10" spans="1:17" ht="16.95" customHeight="1" x14ac:dyDescent="0.3">
      <c r="A10" s="6" t="s">
        <v>28</v>
      </c>
      <c r="B10" s="2">
        <v>38</v>
      </c>
      <c r="C10" s="2">
        <v>27</v>
      </c>
      <c r="D10" s="2">
        <v>6</v>
      </c>
      <c r="E10" s="2">
        <v>5</v>
      </c>
      <c r="F10" s="2">
        <v>105</v>
      </c>
      <c r="G10" s="2">
        <v>35</v>
      </c>
      <c r="H10" s="2">
        <v>70</v>
      </c>
      <c r="I10" s="2">
        <v>87</v>
      </c>
      <c r="J10" s="2">
        <v>1</v>
      </c>
      <c r="K10" s="7" t="s">
        <v>24</v>
      </c>
      <c r="L10" s="3" t="s">
        <v>29</v>
      </c>
      <c r="M10" s="3" t="s">
        <v>30</v>
      </c>
      <c r="N10" s="36" t="s">
        <v>148</v>
      </c>
    </row>
    <row r="11" spans="1:17" ht="16.95" customHeight="1" x14ac:dyDescent="0.3">
      <c r="A11" s="8" t="s">
        <v>31</v>
      </c>
      <c r="B11" s="4">
        <v>38</v>
      </c>
      <c r="C11" s="4">
        <v>31</v>
      </c>
      <c r="D11" s="4">
        <v>4</v>
      </c>
      <c r="E11" s="4">
        <v>3</v>
      </c>
      <c r="F11" s="4">
        <v>98</v>
      </c>
      <c r="G11" s="4">
        <v>24</v>
      </c>
      <c r="H11" s="4">
        <v>74</v>
      </c>
      <c r="I11" s="4">
        <v>97</v>
      </c>
      <c r="J11" s="4">
        <v>1</v>
      </c>
      <c r="K11" s="7" t="s">
        <v>24</v>
      </c>
      <c r="L11" s="5" t="s">
        <v>29</v>
      </c>
      <c r="M11" s="5" t="s">
        <v>30</v>
      </c>
      <c r="N11" s="36" t="s">
        <v>148</v>
      </c>
    </row>
    <row r="12" spans="1:17" ht="16.95" customHeight="1" x14ac:dyDescent="0.3">
      <c r="A12" s="2" t="s">
        <v>32</v>
      </c>
      <c r="B12" s="2">
        <v>38</v>
      </c>
      <c r="C12" s="2">
        <v>30</v>
      </c>
      <c r="D12" s="2">
        <v>7</v>
      </c>
      <c r="E12" s="2">
        <v>1</v>
      </c>
      <c r="F12" s="2">
        <v>95</v>
      </c>
      <c r="G12" s="2">
        <v>21</v>
      </c>
      <c r="H12" s="2">
        <v>74</v>
      </c>
      <c r="I12" s="2">
        <v>97</v>
      </c>
      <c r="J12" s="2">
        <v>2</v>
      </c>
      <c r="K12" s="2" t="s">
        <v>14</v>
      </c>
      <c r="L12" s="3" t="s">
        <v>29</v>
      </c>
      <c r="M12" s="3" t="s">
        <v>30</v>
      </c>
      <c r="N12" s="36" t="s">
        <v>148</v>
      </c>
    </row>
    <row r="13" spans="1:17" ht="16.95" customHeight="1" x14ac:dyDescent="0.3">
      <c r="A13" s="4" t="s">
        <v>33</v>
      </c>
      <c r="B13" s="4">
        <v>38</v>
      </c>
      <c r="C13" s="4">
        <v>28</v>
      </c>
      <c r="D13" s="4">
        <v>7</v>
      </c>
      <c r="E13" s="4">
        <v>3</v>
      </c>
      <c r="F13" s="4">
        <v>114</v>
      </c>
      <c r="G13" s="4">
        <v>29</v>
      </c>
      <c r="H13" s="4">
        <v>85</v>
      </c>
      <c r="I13" s="4">
        <v>91</v>
      </c>
      <c r="J13" s="4">
        <v>2</v>
      </c>
      <c r="K13" s="4" t="s">
        <v>14</v>
      </c>
      <c r="L13" s="5" t="s">
        <v>29</v>
      </c>
      <c r="M13" s="5" t="s">
        <v>30</v>
      </c>
      <c r="N13" s="36" t="s">
        <v>148</v>
      </c>
    </row>
    <row r="14" spans="1:17" ht="16.95" customHeight="1" x14ac:dyDescent="0.3">
      <c r="A14" s="6" t="s">
        <v>34</v>
      </c>
      <c r="B14" s="2">
        <v>38</v>
      </c>
      <c r="C14" s="2">
        <v>32</v>
      </c>
      <c r="D14" s="2">
        <v>4</v>
      </c>
      <c r="E14" s="2">
        <v>2</v>
      </c>
      <c r="F14" s="2">
        <v>115</v>
      </c>
      <c r="G14" s="2">
        <v>40</v>
      </c>
      <c r="H14" s="2">
        <v>75</v>
      </c>
      <c r="I14" s="2">
        <v>100</v>
      </c>
      <c r="J14" s="2">
        <v>1</v>
      </c>
      <c r="K14" s="7" t="s">
        <v>24</v>
      </c>
      <c r="L14" s="3" t="s">
        <v>35</v>
      </c>
      <c r="M14" s="3" t="s">
        <v>36</v>
      </c>
      <c r="N14" s="36" t="s">
        <v>148</v>
      </c>
    </row>
    <row r="15" spans="1:17" ht="16.95" customHeight="1" x14ac:dyDescent="0.3">
      <c r="A15" s="4" t="s">
        <v>37</v>
      </c>
      <c r="B15" s="4">
        <v>38</v>
      </c>
      <c r="C15" s="4">
        <v>27</v>
      </c>
      <c r="D15" s="4">
        <v>6</v>
      </c>
      <c r="E15" s="4">
        <v>5</v>
      </c>
      <c r="F15" s="4">
        <v>100</v>
      </c>
      <c r="G15" s="4">
        <v>38</v>
      </c>
      <c r="H15" s="4">
        <v>62</v>
      </c>
      <c r="I15" s="4">
        <v>87</v>
      </c>
      <c r="J15" s="4">
        <v>2</v>
      </c>
      <c r="K15" s="4" t="s">
        <v>14</v>
      </c>
      <c r="L15" s="5" t="s">
        <v>38</v>
      </c>
      <c r="M15" s="5" t="s">
        <v>36</v>
      </c>
      <c r="N15" s="36" t="s">
        <v>148</v>
      </c>
    </row>
    <row r="16" spans="1:17" ht="16.95" customHeight="1" x14ac:dyDescent="0.3">
      <c r="A16" s="6" t="s">
        <v>39</v>
      </c>
      <c r="B16" s="2">
        <v>38</v>
      </c>
      <c r="C16" s="2">
        <v>30</v>
      </c>
      <c r="D16" s="2">
        <v>4</v>
      </c>
      <c r="E16" s="2">
        <v>4</v>
      </c>
      <c r="F16" s="2">
        <v>110</v>
      </c>
      <c r="G16" s="2">
        <v>21</v>
      </c>
      <c r="H16" s="2">
        <v>89</v>
      </c>
      <c r="I16" s="2">
        <v>94</v>
      </c>
      <c r="J16" s="2">
        <v>1</v>
      </c>
      <c r="K16" s="7" t="s">
        <v>24</v>
      </c>
      <c r="L16" s="3" t="s">
        <v>40</v>
      </c>
      <c r="M16" s="3" t="s">
        <v>41</v>
      </c>
      <c r="N16" s="36" t="s">
        <v>148</v>
      </c>
    </row>
    <row r="17" spans="1:14" ht="16.95" customHeight="1" x14ac:dyDescent="0.3">
      <c r="A17" s="8" t="s">
        <v>42</v>
      </c>
      <c r="B17" s="4">
        <v>38</v>
      </c>
      <c r="C17" s="4">
        <v>29</v>
      </c>
      <c r="D17" s="4">
        <v>4</v>
      </c>
      <c r="E17" s="4">
        <v>5</v>
      </c>
      <c r="F17" s="4">
        <v>112</v>
      </c>
      <c r="G17" s="4">
        <v>29</v>
      </c>
      <c r="H17" s="4">
        <v>83</v>
      </c>
      <c r="I17" s="4">
        <v>91</v>
      </c>
      <c r="J17" s="4">
        <v>1</v>
      </c>
      <c r="K17" s="7" t="s">
        <v>24</v>
      </c>
      <c r="L17" s="5" t="s">
        <v>40</v>
      </c>
      <c r="M17" s="5" t="s">
        <v>41</v>
      </c>
      <c r="N17" s="36" t="s">
        <v>148</v>
      </c>
    </row>
    <row r="18" spans="1:14" ht="16.95" customHeight="1" x14ac:dyDescent="0.3">
      <c r="A18" s="2" t="s">
        <v>43</v>
      </c>
      <c r="B18" s="2">
        <v>38</v>
      </c>
      <c r="C18" s="2">
        <v>28</v>
      </c>
      <c r="D18" s="2">
        <v>7</v>
      </c>
      <c r="E18" s="2">
        <v>3</v>
      </c>
      <c r="F18" s="2">
        <v>116</v>
      </c>
      <c r="G18" s="2">
        <v>37</v>
      </c>
      <c r="H18" s="2">
        <v>79</v>
      </c>
      <c r="I18" s="2">
        <v>90</v>
      </c>
      <c r="J18" s="2">
        <v>2</v>
      </c>
      <c r="K18" s="2" t="s">
        <v>14</v>
      </c>
      <c r="L18" s="3" t="s">
        <v>40</v>
      </c>
      <c r="M18" s="3" t="s">
        <v>41</v>
      </c>
      <c r="N18" s="36" t="s">
        <v>148</v>
      </c>
    </row>
    <row r="19" spans="1:14" ht="16.95" customHeight="1" x14ac:dyDescent="0.3">
      <c r="A19" s="8" t="s">
        <v>44</v>
      </c>
      <c r="B19" s="4">
        <v>38</v>
      </c>
      <c r="C19" s="4">
        <v>28</v>
      </c>
      <c r="D19" s="4">
        <v>9</v>
      </c>
      <c r="E19" s="4">
        <v>1</v>
      </c>
      <c r="F19" s="4">
        <v>99</v>
      </c>
      <c r="G19" s="4">
        <v>29</v>
      </c>
      <c r="H19" s="4">
        <v>70</v>
      </c>
      <c r="I19" s="4">
        <v>93</v>
      </c>
      <c r="J19" s="4">
        <v>1</v>
      </c>
      <c r="K19" s="7" t="s">
        <v>24</v>
      </c>
      <c r="L19" s="5" t="s">
        <v>45</v>
      </c>
      <c r="M19" s="5" t="s">
        <v>46</v>
      </c>
      <c r="N19" s="36" t="s">
        <v>148</v>
      </c>
    </row>
    <row r="20" spans="1:14" ht="16.95" customHeight="1" x14ac:dyDescent="0.3">
      <c r="A20" s="6" t="s">
        <v>47</v>
      </c>
      <c r="B20" s="2">
        <v>38</v>
      </c>
      <c r="C20" s="2">
        <v>26</v>
      </c>
      <c r="D20" s="2">
        <v>9</v>
      </c>
      <c r="E20" s="2">
        <v>3</v>
      </c>
      <c r="F20" s="2">
        <v>90</v>
      </c>
      <c r="G20" s="2">
        <v>36</v>
      </c>
      <c r="H20" s="2">
        <v>54</v>
      </c>
      <c r="I20" s="2">
        <v>87</v>
      </c>
      <c r="J20" s="2">
        <v>1</v>
      </c>
      <c r="K20" s="7" t="s">
        <v>24</v>
      </c>
      <c r="L20" s="3" t="s">
        <v>45</v>
      </c>
      <c r="M20" s="3" t="s">
        <v>46</v>
      </c>
      <c r="N20" s="36" t="s">
        <v>148</v>
      </c>
    </row>
    <row r="21" spans="1:14" ht="16.95" customHeight="1" x14ac:dyDescent="0.3">
      <c r="A21" s="4" t="s">
        <v>48</v>
      </c>
      <c r="B21" s="4">
        <v>38</v>
      </c>
      <c r="C21" s="4">
        <v>21</v>
      </c>
      <c r="D21" s="4">
        <v>8</v>
      </c>
      <c r="E21" s="4">
        <v>9</v>
      </c>
      <c r="F21" s="4">
        <v>86</v>
      </c>
      <c r="G21" s="4">
        <v>38</v>
      </c>
      <c r="H21" s="4">
        <v>48</v>
      </c>
      <c r="I21" s="4">
        <v>71</v>
      </c>
      <c r="J21" s="4">
        <v>2</v>
      </c>
      <c r="K21" s="4" t="s">
        <v>14</v>
      </c>
      <c r="L21" s="5" t="s">
        <v>49</v>
      </c>
      <c r="M21" s="5" t="s">
        <v>50</v>
      </c>
      <c r="N21" s="36" t="s">
        <v>148</v>
      </c>
    </row>
    <row r="22" spans="1:14" ht="16.95" customHeight="1" x14ac:dyDescent="0.3">
      <c r="A22" s="2" t="s">
        <v>51</v>
      </c>
      <c r="B22" s="2">
        <v>38</v>
      </c>
      <c r="C22" s="2">
        <v>23</v>
      </c>
      <c r="D22" s="2">
        <v>9</v>
      </c>
      <c r="E22" s="2">
        <v>6</v>
      </c>
      <c r="F22" s="2">
        <v>85</v>
      </c>
      <c r="G22" s="2">
        <v>38</v>
      </c>
      <c r="H22" s="2">
        <v>47</v>
      </c>
      <c r="I22" s="2">
        <v>79</v>
      </c>
      <c r="J22" s="2">
        <v>3</v>
      </c>
      <c r="K22" s="2" t="s">
        <v>14</v>
      </c>
      <c r="L22" s="3" t="s">
        <v>52</v>
      </c>
      <c r="M22" s="3" t="s">
        <v>50</v>
      </c>
      <c r="N22" s="36" t="s">
        <v>148</v>
      </c>
    </row>
    <row r="23" spans="1:14" ht="16.95" customHeight="1" x14ac:dyDescent="0.3">
      <c r="A23" s="4" t="s">
        <v>53</v>
      </c>
      <c r="B23" s="4">
        <v>38</v>
      </c>
      <c r="C23" s="4">
        <v>21</v>
      </c>
      <c r="D23" s="4">
        <v>9</v>
      </c>
      <c r="E23" s="4">
        <v>8</v>
      </c>
      <c r="F23" s="4">
        <v>68</v>
      </c>
      <c r="G23" s="4">
        <v>38</v>
      </c>
      <c r="H23" s="4">
        <v>30</v>
      </c>
      <c r="I23" s="4">
        <v>73</v>
      </c>
      <c r="J23" s="4">
        <v>2</v>
      </c>
      <c r="K23" s="4" t="s">
        <v>14</v>
      </c>
      <c r="L23" s="5" t="s">
        <v>54</v>
      </c>
      <c r="M23" s="5" t="s">
        <v>55</v>
      </c>
      <c r="N23" s="36" t="s">
        <v>148</v>
      </c>
    </row>
    <row r="24" spans="1:14" ht="16.95" customHeight="1" x14ac:dyDescent="0.3">
      <c r="A24" s="6" t="s">
        <v>56</v>
      </c>
      <c r="B24" s="2">
        <v>38</v>
      </c>
      <c r="C24" s="2">
        <v>28</v>
      </c>
      <c r="D24" s="2">
        <v>4</v>
      </c>
      <c r="E24" s="2">
        <v>6</v>
      </c>
      <c r="F24" s="2">
        <v>70</v>
      </c>
      <c r="G24" s="2">
        <v>20</v>
      </c>
      <c r="H24" s="2">
        <v>50</v>
      </c>
      <c r="I24" s="2">
        <v>88</v>
      </c>
      <c r="J24" s="2">
        <v>1</v>
      </c>
      <c r="K24" s="7" t="s">
        <v>24</v>
      </c>
      <c r="L24" s="3" t="s">
        <v>54</v>
      </c>
      <c r="M24" s="3" t="s">
        <v>55</v>
      </c>
      <c r="N24" s="36" t="s">
        <v>148</v>
      </c>
    </row>
    <row r="25" spans="1:14" ht="16.95" customHeight="1" x14ac:dyDescent="0.3">
      <c r="A25" s="4" t="s">
        <v>57</v>
      </c>
      <c r="B25" s="4">
        <v>38</v>
      </c>
      <c r="C25" s="4">
        <v>22</v>
      </c>
      <c r="D25" s="4">
        <v>8</v>
      </c>
      <c r="E25" s="4">
        <v>8</v>
      </c>
      <c r="F25" s="4">
        <v>79</v>
      </c>
      <c r="G25" s="4">
        <v>44</v>
      </c>
      <c r="H25" s="4">
        <v>35</v>
      </c>
      <c r="I25" s="4">
        <v>74</v>
      </c>
      <c r="J25" s="4">
        <v>2</v>
      </c>
      <c r="K25" s="4" t="s">
        <v>14</v>
      </c>
      <c r="L25" s="5" t="s">
        <v>54</v>
      </c>
      <c r="M25" s="5" t="s">
        <v>55</v>
      </c>
      <c r="N25" s="36" t="s">
        <v>148</v>
      </c>
    </row>
    <row r="26" spans="1:14" ht="16.95" customHeight="1" x14ac:dyDescent="0.3">
      <c r="A26" s="6" t="s">
        <v>58</v>
      </c>
      <c r="B26" s="2">
        <v>38</v>
      </c>
      <c r="C26" s="2">
        <v>27</v>
      </c>
      <c r="D26" s="2">
        <v>4</v>
      </c>
      <c r="E26" s="2">
        <v>7</v>
      </c>
      <c r="F26" s="2">
        <v>87</v>
      </c>
      <c r="G26" s="2">
        <v>39</v>
      </c>
      <c r="H26" s="2">
        <v>48</v>
      </c>
      <c r="I26" s="2">
        <v>85</v>
      </c>
      <c r="J26" s="2">
        <v>1</v>
      </c>
      <c r="K26" s="7" t="s">
        <v>24</v>
      </c>
      <c r="L26" s="3" t="s">
        <v>59</v>
      </c>
      <c r="M26" s="3" t="s">
        <v>60</v>
      </c>
      <c r="N26" s="36" t="s">
        <v>148</v>
      </c>
    </row>
    <row r="27" spans="1:14" ht="16.95" customHeight="1" x14ac:dyDescent="0.3"/>
    <row r="28" spans="1:14" ht="16.95" customHeight="1" x14ac:dyDescent="0.3"/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5" width="5" customWidth="1"/>
    <col min="6" max="8" width="6" customWidth="1"/>
    <col min="9" max="9" width="22" customWidth="1"/>
    <col min="10" max="10" width="12" customWidth="1"/>
    <col min="11" max="11" width="22" customWidth="1"/>
  </cols>
  <sheetData>
    <row r="1" spans="1:11" ht="28.05" customHeight="1" x14ac:dyDescent="0.3">
      <c r="A1" s="30" t="s">
        <v>63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" customHeight="1" x14ac:dyDescent="0.3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64</v>
      </c>
      <c r="J2" s="11" t="s">
        <v>65</v>
      </c>
      <c r="K2" s="11" t="s">
        <v>66</v>
      </c>
    </row>
    <row r="3" spans="1:11" ht="16.95" customHeight="1" x14ac:dyDescent="0.3">
      <c r="A3" s="2" t="s">
        <v>13</v>
      </c>
      <c r="B3" s="2">
        <v>8</v>
      </c>
      <c r="C3" s="2">
        <v>4</v>
      </c>
      <c r="D3" s="2">
        <v>1</v>
      </c>
      <c r="E3" s="2">
        <v>3</v>
      </c>
      <c r="F3" s="2">
        <v>20</v>
      </c>
      <c r="G3" s="2">
        <v>14</v>
      </c>
      <c r="H3" s="2">
        <v>6</v>
      </c>
      <c r="I3" s="3" t="s">
        <v>67</v>
      </c>
      <c r="J3" s="3" t="s">
        <v>68</v>
      </c>
      <c r="K3" s="3" t="s">
        <v>69</v>
      </c>
    </row>
    <row r="4" spans="1:11" ht="16.95" customHeight="1" x14ac:dyDescent="0.3">
      <c r="A4" s="4" t="s">
        <v>17</v>
      </c>
      <c r="B4" s="4">
        <v>8</v>
      </c>
      <c r="C4" s="4">
        <v>4</v>
      </c>
      <c r="D4" s="4">
        <v>2</v>
      </c>
      <c r="E4" s="4">
        <v>2</v>
      </c>
      <c r="F4" s="4">
        <v>17</v>
      </c>
      <c r="G4" s="4">
        <v>11</v>
      </c>
      <c r="H4" s="4">
        <v>6</v>
      </c>
      <c r="I4" s="5" t="s">
        <v>67</v>
      </c>
      <c r="J4" s="5" t="s">
        <v>68</v>
      </c>
      <c r="K4" s="5" t="s">
        <v>70</v>
      </c>
    </row>
    <row r="5" spans="1:11" ht="16.95" customHeight="1" x14ac:dyDescent="0.3">
      <c r="A5" s="2" t="s">
        <v>19</v>
      </c>
      <c r="B5" s="2">
        <v>10</v>
      </c>
      <c r="C5" s="2">
        <v>5</v>
      </c>
      <c r="D5" s="2">
        <v>2</v>
      </c>
      <c r="E5" s="2">
        <v>3</v>
      </c>
      <c r="F5" s="2">
        <v>22</v>
      </c>
      <c r="G5" s="2">
        <v>14</v>
      </c>
      <c r="H5" s="2">
        <v>8</v>
      </c>
      <c r="I5" s="3" t="s">
        <v>67</v>
      </c>
      <c r="J5" s="3" t="s">
        <v>68</v>
      </c>
      <c r="K5" s="3" t="s">
        <v>71</v>
      </c>
    </row>
    <row r="6" spans="1:11" ht="16.95" customHeight="1" x14ac:dyDescent="0.3">
      <c r="A6" s="4" t="s">
        <v>21</v>
      </c>
      <c r="B6" s="4">
        <v>8</v>
      </c>
      <c r="C6" s="4">
        <v>3</v>
      </c>
      <c r="D6" s="4">
        <v>3</v>
      </c>
      <c r="E6" s="4">
        <v>2</v>
      </c>
      <c r="F6" s="4">
        <v>12</v>
      </c>
      <c r="G6" s="4">
        <v>9</v>
      </c>
      <c r="H6" s="4">
        <v>3</v>
      </c>
      <c r="I6" s="5" t="s">
        <v>67</v>
      </c>
      <c r="J6" s="5" t="s">
        <v>68</v>
      </c>
      <c r="K6" s="5" t="s">
        <v>72</v>
      </c>
    </row>
    <row r="7" spans="1:11" ht="16.95" customHeight="1" x14ac:dyDescent="0.3">
      <c r="A7" s="2" t="s">
        <v>23</v>
      </c>
      <c r="B7" s="2">
        <v>13</v>
      </c>
      <c r="C7" s="2">
        <v>8</v>
      </c>
      <c r="D7" s="2">
        <v>2</v>
      </c>
      <c r="E7" s="2">
        <v>3</v>
      </c>
      <c r="F7" s="2">
        <v>22</v>
      </c>
      <c r="G7" s="2">
        <v>12</v>
      </c>
      <c r="H7" s="2">
        <v>10</v>
      </c>
      <c r="I7" s="3" t="s">
        <v>73</v>
      </c>
      <c r="J7" s="3" t="s">
        <v>68</v>
      </c>
      <c r="K7" s="3" t="s">
        <v>72</v>
      </c>
    </row>
    <row r="8" spans="1:11" ht="16.95" customHeight="1" x14ac:dyDescent="0.3">
      <c r="A8" s="12" t="s">
        <v>25</v>
      </c>
      <c r="B8" s="4">
        <v>13</v>
      </c>
      <c r="C8" s="4">
        <v>9</v>
      </c>
      <c r="D8" s="4">
        <v>2</v>
      </c>
      <c r="E8" s="4">
        <v>2</v>
      </c>
      <c r="F8" s="4">
        <v>27</v>
      </c>
      <c r="G8" s="4">
        <v>10</v>
      </c>
      <c r="H8" s="4">
        <v>17</v>
      </c>
      <c r="I8" s="5" t="s">
        <v>74</v>
      </c>
      <c r="J8" s="13" t="s">
        <v>10</v>
      </c>
      <c r="K8" s="5" t="s">
        <v>75</v>
      </c>
    </row>
    <row r="9" spans="1:11" ht="16.95" customHeight="1" x14ac:dyDescent="0.3">
      <c r="A9" s="2" t="s">
        <v>26</v>
      </c>
      <c r="B9" s="2">
        <v>10</v>
      </c>
      <c r="C9" s="2">
        <v>6</v>
      </c>
      <c r="D9" s="2">
        <v>1</v>
      </c>
      <c r="E9" s="2">
        <v>3</v>
      </c>
      <c r="F9" s="2">
        <v>20</v>
      </c>
      <c r="G9" s="2">
        <v>11</v>
      </c>
      <c r="H9" s="2">
        <v>9</v>
      </c>
      <c r="I9" s="3" t="s">
        <v>73</v>
      </c>
      <c r="J9" s="3" t="s">
        <v>68</v>
      </c>
      <c r="K9" s="3" t="s">
        <v>76</v>
      </c>
    </row>
    <row r="10" spans="1:11" ht="16.95" customHeight="1" x14ac:dyDescent="0.3">
      <c r="A10" s="4" t="s">
        <v>27</v>
      </c>
      <c r="B10" s="4">
        <v>10</v>
      </c>
      <c r="C10" s="4">
        <v>5</v>
      </c>
      <c r="D10" s="4">
        <v>3</v>
      </c>
      <c r="E10" s="4">
        <v>2</v>
      </c>
      <c r="F10" s="4">
        <v>17</v>
      </c>
      <c r="G10" s="4">
        <v>9</v>
      </c>
      <c r="H10" s="4">
        <v>8</v>
      </c>
      <c r="I10" s="5" t="s">
        <v>73</v>
      </c>
      <c r="J10" s="5" t="s">
        <v>68</v>
      </c>
      <c r="K10" s="5" t="s">
        <v>77</v>
      </c>
    </row>
    <row r="11" spans="1:11" ht="16.95" customHeight="1" x14ac:dyDescent="0.3">
      <c r="A11" s="12" t="s">
        <v>28</v>
      </c>
      <c r="B11" s="2">
        <v>13</v>
      </c>
      <c r="C11" s="2">
        <v>10</v>
      </c>
      <c r="D11" s="2">
        <v>1</v>
      </c>
      <c r="E11" s="2">
        <v>2</v>
      </c>
      <c r="F11" s="2">
        <v>27</v>
      </c>
      <c r="G11" s="2">
        <v>10</v>
      </c>
      <c r="H11" s="2">
        <v>17</v>
      </c>
      <c r="I11" s="3" t="s">
        <v>74</v>
      </c>
      <c r="J11" s="13" t="s">
        <v>10</v>
      </c>
      <c r="K11" s="3" t="s">
        <v>77</v>
      </c>
    </row>
    <row r="12" spans="1:11" ht="16.95" customHeight="1" x14ac:dyDescent="0.3">
      <c r="A12" s="12" t="s">
        <v>31</v>
      </c>
      <c r="B12" s="4">
        <v>13</v>
      </c>
      <c r="C12" s="4">
        <v>10</v>
      </c>
      <c r="D12" s="4">
        <v>1</v>
      </c>
      <c r="E12" s="4">
        <v>2</v>
      </c>
      <c r="F12" s="4">
        <v>36</v>
      </c>
      <c r="G12" s="4">
        <v>13</v>
      </c>
      <c r="H12" s="4">
        <v>23</v>
      </c>
      <c r="I12" s="5" t="s">
        <v>74</v>
      </c>
      <c r="J12" s="13" t="s">
        <v>10</v>
      </c>
      <c r="K12" s="5" t="s">
        <v>78</v>
      </c>
    </row>
    <row r="13" spans="1:11" ht="16.95" customHeight="1" x14ac:dyDescent="0.3">
      <c r="A13" s="12" t="s">
        <v>32</v>
      </c>
      <c r="B13" s="2">
        <v>13</v>
      </c>
      <c r="C13" s="2">
        <v>8</v>
      </c>
      <c r="D13" s="2">
        <v>3</v>
      </c>
      <c r="E13" s="2">
        <v>2</v>
      </c>
      <c r="F13" s="2">
        <v>30</v>
      </c>
      <c r="G13" s="2">
        <v>13</v>
      </c>
      <c r="H13" s="2">
        <v>17</v>
      </c>
      <c r="I13" s="3" t="s">
        <v>74</v>
      </c>
      <c r="J13" s="13" t="s">
        <v>10</v>
      </c>
      <c r="K13" s="3" t="s">
        <v>77</v>
      </c>
    </row>
    <row r="14" spans="1:11" ht="16.95" customHeight="1" x14ac:dyDescent="0.3">
      <c r="A14" s="4" t="s">
        <v>33</v>
      </c>
      <c r="B14" s="4">
        <v>12</v>
      </c>
      <c r="C14" s="4">
        <v>7</v>
      </c>
      <c r="D14" s="4">
        <v>2</v>
      </c>
      <c r="E14" s="4">
        <v>3</v>
      </c>
      <c r="F14" s="4">
        <v>27</v>
      </c>
      <c r="G14" s="4">
        <v>16</v>
      </c>
      <c r="H14" s="4">
        <v>11</v>
      </c>
      <c r="I14" s="5" t="s">
        <v>73</v>
      </c>
      <c r="J14" s="5" t="s">
        <v>68</v>
      </c>
      <c r="K14" s="5" t="s">
        <v>72</v>
      </c>
    </row>
    <row r="15" spans="1:11" ht="16.95" customHeight="1" x14ac:dyDescent="0.3">
      <c r="A15" s="2" t="s">
        <v>34</v>
      </c>
      <c r="B15" s="2">
        <v>10</v>
      </c>
      <c r="C15" s="2">
        <v>6</v>
      </c>
      <c r="D15" s="2">
        <v>1</v>
      </c>
      <c r="E15" s="2">
        <v>3</v>
      </c>
      <c r="F15" s="2">
        <v>27</v>
      </c>
      <c r="G15" s="2">
        <v>13</v>
      </c>
      <c r="H15" s="2">
        <v>14</v>
      </c>
      <c r="I15" s="3" t="s">
        <v>73</v>
      </c>
      <c r="J15" s="3" t="s">
        <v>68</v>
      </c>
      <c r="K15" s="3" t="s">
        <v>79</v>
      </c>
    </row>
    <row r="16" spans="1:11" ht="16.95" customHeight="1" x14ac:dyDescent="0.3">
      <c r="A16" s="4" t="s">
        <v>37</v>
      </c>
      <c r="B16" s="4">
        <v>10</v>
      </c>
      <c r="C16" s="4">
        <v>5</v>
      </c>
      <c r="D16" s="4">
        <v>2</v>
      </c>
      <c r="E16" s="4">
        <v>3</v>
      </c>
      <c r="F16" s="4">
        <v>22</v>
      </c>
      <c r="G16" s="4">
        <v>14</v>
      </c>
      <c r="H16" s="4">
        <v>8</v>
      </c>
      <c r="I16" s="5" t="s">
        <v>67</v>
      </c>
      <c r="J16" s="5" t="s">
        <v>68</v>
      </c>
      <c r="K16" s="5" t="s">
        <v>80</v>
      </c>
    </row>
    <row r="17" spans="1:11" ht="16.95" customHeight="1" x14ac:dyDescent="0.3">
      <c r="A17" s="12" t="s">
        <v>39</v>
      </c>
      <c r="B17" s="2">
        <v>13</v>
      </c>
      <c r="C17" s="2">
        <v>9</v>
      </c>
      <c r="D17" s="2">
        <v>2</v>
      </c>
      <c r="E17" s="2">
        <v>2</v>
      </c>
      <c r="F17" s="2">
        <v>27</v>
      </c>
      <c r="G17" s="2">
        <v>10</v>
      </c>
      <c r="H17" s="2">
        <v>17</v>
      </c>
      <c r="I17" s="3" t="s">
        <v>74</v>
      </c>
      <c r="J17" s="13" t="s">
        <v>10</v>
      </c>
      <c r="K17" s="3" t="s">
        <v>71</v>
      </c>
    </row>
    <row r="18" spans="1:11" ht="16.95" customHeight="1" x14ac:dyDescent="0.3">
      <c r="A18" s="4" t="s">
        <v>42</v>
      </c>
      <c r="B18" s="4">
        <v>12</v>
      </c>
      <c r="C18" s="4">
        <v>7</v>
      </c>
      <c r="D18" s="4">
        <v>1</v>
      </c>
      <c r="E18" s="4">
        <v>4</v>
      </c>
      <c r="F18" s="4">
        <v>30</v>
      </c>
      <c r="G18" s="4">
        <v>16</v>
      </c>
      <c r="H18" s="4">
        <v>14</v>
      </c>
      <c r="I18" s="5" t="s">
        <v>73</v>
      </c>
      <c r="J18" s="5" t="s">
        <v>68</v>
      </c>
      <c r="K18" s="5" t="s">
        <v>80</v>
      </c>
    </row>
    <row r="19" spans="1:11" ht="16.95" customHeight="1" x14ac:dyDescent="0.3">
      <c r="A19" s="2" t="s">
        <v>43</v>
      </c>
      <c r="B19" s="2">
        <v>10</v>
      </c>
      <c r="C19" s="2">
        <v>6</v>
      </c>
      <c r="D19" s="2">
        <v>1</v>
      </c>
      <c r="E19" s="2">
        <v>3</v>
      </c>
      <c r="F19" s="2">
        <v>23</v>
      </c>
      <c r="G19" s="2">
        <v>15</v>
      </c>
      <c r="H19" s="2">
        <v>8</v>
      </c>
      <c r="I19" s="3" t="s">
        <v>67</v>
      </c>
      <c r="J19" s="3" t="s">
        <v>68</v>
      </c>
      <c r="K19" s="3" t="s">
        <v>71</v>
      </c>
    </row>
    <row r="20" spans="1:11" ht="16.95" customHeight="1" x14ac:dyDescent="0.3">
      <c r="A20" s="4" t="s">
        <v>44</v>
      </c>
      <c r="B20" s="4">
        <v>10</v>
      </c>
      <c r="C20" s="4">
        <v>6</v>
      </c>
      <c r="D20" s="4">
        <v>2</v>
      </c>
      <c r="E20" s="4">
        <v>2</v>
      </c>
      <c r="F20" s="4">
        <v>19</v>
      </c>
      <c r="G20" s="4">
        <v>12</v>
      </c>
      <c r="H20" s="4">
        <v>7</v>
      </c>
      <c r="I20" s="5" t="s">
        <v>67</v>
      </c>
      <c r="J20" s="5" t="s">
        <v>68</v>
      </c>
      <c r="K20" s="5" t="s">
        <v>81</v>
      </c>
    </row>
    <row r="21" spans="1:11" ht="16.95" customHeight="1" x14ac:dyDescent="0.3">
      <c r="A21" s="2" t="s">
        <v>47</v>
      </c>
      <c r="B21" s="2">
        <v>10</v>
      </c>
      <c r="C21" s="2">
        <v>7</v>
      </c>
      <c r="D21" s="2">
        <v>2</v>
      </c>
      <c r="E21" s="2">
        <v>1</v>
      </c>
      <c r="F21" s="2">
        <v>22</v>
      </c>
      <c r="G21" s="2">
        <v>9</v>
      </c>
      <c r="H21" s="2">
        <v>13</v>
      </c>
      <c r="I21" s="3" t="s">
        <v>73</v>
      </c>
      <c r="J21" s="3" t="s">
        <v>68</v>
      </c>
      <c r="K21" s="3" t="s">
        <v>82</v>
      </c>
    </row>
    <row r="22" spans="1:11" ht="16.95" customHeight="1" x14ac:dyDescent="0.3">
      <c r="A22" s="4" t="s">
        <v>48</v>
      </c>
      <c r="B22" s="4">
        <v>7</v>
      </c>
      <c r="C22" s="4">
        <v>4</v>
      </c>
      <c r="D22" s="4">
        <v>1</v>
      </c>
      <c r="E22" s="4">
        <v>2</v>
      </c>
      <c r="F22" s="4">
        <v>18</v>
      </c>
      <c r="G22" s="4">
        <v>13</v>
      </c>
      <c r="H22" s="4">
        <v>5</v>
      </c>
      <c r="I22" s="5" t="s">
        <v>67</v>
      </c>
      <c r="J22" s="5" t="s">
        <v>68</v>
      </c>
      <c r="K22" s="5" t="s">
        <v>79</v>
      </c>
    </row>
    <row r="23" spans="1:11" ht="16.95" customHeight="1" x14ac:dyDescent="0.3">
      <c r="A23" s="2" t="s">
        <v>51</v>
      </c>
      <c r="B23" s="2">
        <v>8</v>
      </c>
      <c r="C23" s="2">
        <v>4</v>
      </c>
      <c r="D23" s="2">
        <v>2</v>
      </c>
      <c r="E23" s="2">
        <v>2</v>
      </c>
      <c r="F23" s="2">
        <v>21</v>
      </c>
      <c r="G23" s="2">
        <v>16</v>
      </c>
      <c r="H23" s="2">
        <v>5</v>
      </c>
      <c r="I23" s="3" t="s">
        <v>83</v>
      </c>
      <c r="J23" s="3" t="s">
        <v>68</v>
      </c>
      <c r="K23" s="3" t="s">
        <v>84</v>
      </c>
    </row>
    <row r="24" spans="1:11" ht="16.95" customHeight="1" x14ac:dyDescent="0.3">
      <c r="A24" s="4" t="s">
        <v>53</v>
      </c>
      <c r="B24" s="4">
        <v>8</v>
      </c>
      <c r="C24" s="4">
        <v>4</v>
      </c>
      <c r="D24" s="4">
        <v>1</v>
      </c>
      <c r="E24" s="4">
        <v>3</v>
      </c>
      <c r="F24" s="4">
        <v>13</v>
      </c>
      <c r="G24" s="4">
        <v>11</v>
      </c>
      <c r="H24" s="4">
        <v>2</v>
      </c>
      <c r="I24" s="5" t="s">
        <v>85</v>
      </c>
      <c r="J24" s="5" t="s">
        <v>68</v>
      </c>
      <c r="K24" s="5" t="s">
        <v>86</v>
      </c>
    </row>
    <row r="25" spans="1:11" ht="16.95" customHeight="1" x14ac:dyDescent="0.3">
      <c r="A25" s="2" t="s">
        <v>56</v>
      </c>
      <c r="B25" s="2">
        <v>10</v>
      </c>
      <c r="C25" s="2">
        <v>5</v>
      </c>
      <c r="D25" s="2">
        <v>2</v>
      </c>
      <c r="E25" s="2">
        <v>3</v>
      </c>
      <c r="F25" s="2">
        <v>22</v>
      </c>
      <c r="G25" s="2">
        <v>18</v>
      </c>
      <c r="H25" s="2">
        <v>4</v>
      </c>
      <c r="I25" s="3" t="s">
        <v>67</v>
      </c>
      <c r="J25" s="3" t="s">
        <v>68</v>
      </c>
      <c r="K25" s="3" t="s">
        <v>87</v>
      </c>
    </row>
    <row r="26" spans="1:11" ht="16.95" customHeight="1" x14ac:dyDescent="0.3">
      <c r="A26" s="4" t="s">
        <v>57</v>
      </c>
      <c r="B26" s="4">
        <v>8</v>
      </c>
      <c r="C26" s="4">
        <v>3</v>
      </c>
      <c r="D26" s="4">
        <v>1</v>
      </c>
      <c r="E26" s="4">
        <v>4</v>
      </c>
      <c r="F26" s="4">
        <v>19</v>
      </c>
      <c r="G26" s="4">
        <v>20</v>
      </c>
      <c r="H26" s="4">
        <v>-1</v>
      </c>
      <c r="I26" s="5" t="s">
        <v>67</v>
      </c>
      <c r="J26" s="5" t="s">
        <v>68</v>
      </c>
      <c r="K26" s="5" t="s">
        <v>88</v>
      </c>
    </row>
    <row r="27" spans="1:11" ht="16.95" customHeight="1" x14ac:dyDescent="0.3">
      <c r="A27" s="2" t="s">
        <v>58</v>
      </c>
      <c r="B27" s="2">
        <v>14</v>
      </c>
      <c r="C27" s="2">
        <v>8</v>
      </c>
      <c r="D27" s="2">
        <v>3</v>
      </c>
      <c r="E27" s="2">
        <v>3</v>
      </c>
      <c r="F27" s="2">
        <v>35</v>
      </c>
      <c r="G27" s="2">
        <v>22</v>
      </c>
      <c r="H27" s="2">
        <v>13</v>
      </c>
      <c r="I27" s="3" t="s">
        <v>73</v>
      </c>
      <c r="J27" s="3" t="s">
        <v>68</v>
      </c>
      <c r="K27" s="3" t="s">
        <v>80</v>
      </c>
    </row>
    <row r="28" spans="1:11" ht="16.95" customHeight="1" x14ac:dyDescent="0.3">
      <c r="A28" s="9" t="s">
        <v>61</v>
      </c>
      <c r="B28" s="9">
        <v>10</v>
      </c>
      <c r="C28" s="9">
        <v>6</v>
      </c>
      <c r="D28" s="9">
        <v>1</v>
      </c>
      <c r="E28" s="9">
        <v>3</v>
      </c>
      <c r="F28" s="9">
        <v>27</v>
      </c>
      <c r="G28" s="9">
        <v>16</v>
      </c>
      <c r="H28" s="9">
        <v>11</v>
      </c>
      <c r="I28" s="10" t="s">
        <v>67</v>
      </c>
      <c r="J28" s="10" t="s">
        <v>89</v>
      </c>
      <c r="K28" s="10" t="s">
        <v>62</v>
      </c>
    </row>
    <row r="29" spans="1:11" x14ac:dyDescent="0.3">
      <c r="A29" s="32" t="s">
        <v>90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2">
    <mergeCell ref="A1:K1"/>
    <mergeCell ref="A29:K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13" customWidth="1"/>
    <col min="3" max="3" width="11" customWidth="1"/>
    <col min="4" max="4" width="14" customWidth="1"/>
    <col min="5" max="5" width="12" customWidth="1"/>
    <col min="6" max="6" width="14" customWidth="1"/>
    <col min="7" max="7" width="11" customWidth="1"/>
    <col min="8" max="9" width="10" customWidth="1"/>
    <col min="10" max="10" width="11" customWidth="1"/>
  </cols>
  <sheetData>
    <row r="1" spans="1:10" ht="28.05" customHeight="1" x14ac:dyDescent="0.3">
      <c r="A1" s="33" t="s">
        <v>91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3">
      <c r="A2" s="1" t="s">
        <v>0</v>
      </c>
      <c r="B2" s="1" t="s">
        <v>92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 t="s">
        <v>100</v>
      </c>
    </row>
    <row r="3" spans="1:10" ht="16.95" customHeight="1" x14ac:dyDescent="0.3">
      <c r="A3" s="2" t="s">
        <v>42</v>
      </c>
      <c r="B3" s="2">
        <v>68</v>
      </c>
      <c r="C3" s="2">
        <v>16.5</v>
      </c>
      <c r="D3" s="2">
        <v>6.7</v>
      </c>
      <c r="E3" s="2">
        <v>5.8</v>
      </c>
      <c r="F3" s="2">
        <v>1.6</v>
      </c>
      <c r="G3" s="2">
        <v>0.06</v>
      </c>
      <c r="H3" s="2">
        <v>2.2999999999999998</v>
      </c>
      <c r="I3" s="2">
        <v>0.72</v>
      </c>
      <c r="J3" s="2">
        <v>89</v>
      </c>
    </row>
    <row r="4" spans="1:10" ht="16.95" customHeight="1" x14ac:dyDescent="0.3">
      <c r="A4" s="4" t="s">
        <v>43</v>
      </c>
      <c r="B4" s="4">
        <v>65</v>
      </c>
      <c r="C4" s="4">
        <v>15.9</v>
      </c>
      <c r="D4" s="4">
        <v>6.5</v>
      </c>
      <c r="E4" s="4">
        <v>5.5</v>
      </c>
      <c r="F4" s="4">
        <v>1.7</v>
      </c>
      <c r="G4" s="4">
        <v>0.06</v>
      </c>
      <c r="H4" s="4">
        <v>2.25</v>
      </c>
      <c r="I4" s="4">
        <v>0.9</v>
      </c>
      <c r="J4" s="4">
        <v>88</v>
      </c>
    </row>
    <row r="5" spans="1:10" ht="16.95" customHeight="1" x14ac:dyDescent="0.3">
      <c r="A5" s="2" t="s">
        <v>44</v>
      </c>
      <c r="B5" s="2">
        <v>67</v>
      </c>
      <c r="C5" s="2">
        <v>15.4</v>
      </c>
      <c r="D5" s="2">
        <v>6.3</v>
      </c>
      <c r="E5" s="2">
        <v>5.6</v>
      </c>
      <c r="F5" s="2">
        <v>1.6</v>
      </c>
      <c r="G5" s="2">
        <v>0.05</v>
      </c>
      <c r="H5" s="2">
        <v>2.15</v>
      </c>
      <c r="I5" s="2">
        <v>0.72</v>
      </c>
      <c r="J5" s="2">
        <v>88</v>
      </c>
    </row>
    <row r="6" spans="1:10" ht="16.95" customHeight="1" x14ac:dyDescent="0.3">
      <c r="A6" s="4" t="s">
        <v>47</v>
      </c>
      <c r="B6" s="4">
        <v>65</v>
      </c>
      <c r="C6" s="4">
        <v>14.9</v>
      </c>
      <c r="D6" s="4">
        <v>6</v>
      </c>
      <c r="E6" s="4">
        <v>5.4</v>
      </c>
      <c r="F6" s="4">
        <v>1.7</v>
      </c>
      <c r="G6" s="4">
        <v>0.06</v>
      </c>
      <c r="H6" s="4">
        <v>2.02</v>
      </c>
      <c r="I6" s="4">
        <v>0.88</v>
      </c>
      <c r="J6" s="4">
        <v>87</v>
      </c>
    </row>
    <row r="7" spans="1:10" ht="16.95" customHeight="1" x14ac:dyDescent="0.3">
      <c r="A7" s="2" t="s">
        <v>48</v>
      </c>
      <c r="B7" s="2">
        <v>68</v>
      </c>
      <c r="C7" s="2">
        <v>15.2</v>
      </c>
      <c r="D7" s="2">
        <v>6.1</v>
      </c>
      <c r="E7" s="2">
        <v>5.3</v>
      </c>
      <c r="F7" s="2">
        <v>1.8</v>
      </c>
      <c r="G7" s="2">
        <v>0.08</v>
      </c>
      <c r="H7" s="2">
        <v>2.0099999999999998</v>
      </c>
      <c r="I7" s="2">
        <v>0.88</v>
      </c>
      <c r="J7" s="2">
        <v>88</v>
      </c>
    </row>
    <row r="8" spans="1:10" ht="16.95" customHeight="1" x14ac:dyDescent="0.3">
      <c r="A8" s="4" t="s">
        <v>51</v>
      </c>
      <c r="B8" s="4">
        <v>64</v>
      </c>
      <c r="C8" s="4">
        <v>14.8</v>
      </c>
      <c r="D8" s="4">
        <v>5.8</v>
      </c>
      <c r="E8" s="4">
        <v>5.0999999999999996</v>
      </c>
      <c r="F8" s="4">
        <v>1.9</v>
      </c>
      <c r="G8" s="4">
        <v>7.0000000000000007E-2</v>
      </c>
      <c r="H8" s="4">
        <v>1.85</v>
      </c>
      <c r="I8" s="4">
        <v>0.92</v>
      </c>
      <c r="J8" s="4">
        <v>87</v>
      </c>
    </row>
    <row r="9" spans="1:10" ht="16.95" customHeight="1" x14ac:dyDescent="0.3">
      <c r="A9" s="2" t="s">
        <v>53</v>
      </c>
      <c r="B9" s="2">
        <v>61</v>
      </c>
      <c r="C9" s="2">
        <v>13.9</v>
      </c>
      <c r="D9" s="2">
        <v>5.5</v>
      </c>
      <c r="E9" s="2">
        <v>4.9000000000000004</v>
      </c>
      <c r="F9" s="2">
        <v>1.7</v>
      </c>
      <c r="G9" s="2">
        <v>0.06</v>
      </c>
      <c r="H9" s="2">
        <v>1.68</v>
      </c>
      <c r="I9" s="2">
        <v>0.95</v>
      </c>
      <c r="J9" s="2">
        <v>86</v>
      </c>
    </row>
    <row r="10" spans="1:10" ht="16.95" customHeight="1" x14ac:dyDescent="0.3">
      <c r="A10" s="4" t="s">
        <v>56</v>
      </c>
      <c r="B10" s="4">
        <v>66</v>
      </c>
      <c r="C10" s="4">
        <v>15.6</v>
      </c>
      <c r="D10" s="4">
        <v>6.4</v>
      </c>
      <c r="E10" s="4">
        <v>5.6</v>
      </c>
      <c r="F10" s="4">
        <v>1.5</v>
      </c>
      <c r="G10" s="4">
        <v>0.05</v>
      </c>
      <c r="H10" s="4">
        <v>2.1</v>
      </c>
      <c r="I10" s="4">
        <v>0.75</v>
      </c>
      <c r="J10" s="4">
        <v>88</v>
      </c>
    </row>
    <row r="11" spans="1:10" ht="16.95" customHeight="1" x14ac:dyDescent="0.3">
      <c r="A11" s="2" t="s">
        <v>57</v>
      </c>
      <c r="B11" s="2">
        <v>63</v>
      </c>
      <c r="C11" s="2">
        <v>14.8</v>
      </c>
      <c r="D11" s="2">
        <v>6</v>
      </c>
      <c r="E11" s="2">
        <v>5.3</v>
      </c>
      <c r="F11" s="2">
        <v>1.7</v>
      </c>
      <c r="G11" s="2">
        <v>7.0000000000000007E-2</v>
      </c>
      <c r="H11" s="2">
        <v>2.02</v>
      </c>
      <c r="I11" s="2">
        <v>1.1000000000000001</v>
      </c>
      <c r="J11" s="2">
        <v>87</v>
      </c>
    </row>
    <row r="12" spans="1:10" ht="16.95" customHeight="1" x14ac:dyDescent="0.3">
      <c r="A12" s="4" t="s">
        <v>58</v>
      </c>
      <c r="B12" s="4">
        <v>67</v>
      </c>
      <c r="C12" s="4">
        <v>16.100000000000001</v>
      </c>
      <c r="D12" s="4">
        <v>6.8</v>
      </c>
      <c r="E12" s="4">
        <v>5.8</v>
      </c>
      <c r="F12" s="4">
        <v>1.4</v>
      </c>
      <c r="G12" s="4">
        <v>0.04</v>
      </c>
      <c r="H12" s="4">
        <v>2.35</v>
      </c>
      <c r="I12" s="4">
        <v>0.88</v>
      </c>
      <c r="J12" s="4">
        <v>88</v>
      </c>
    </row>
    <row r="13" spans="1:10" ht="16.95" customHeight="1" x14ac:dyDescent="0.3">
      <c r="A13" s="14" t="s">
        <v>61</v>
      </c>
      <c r="B13" s="14">
        <v>68</v>
      </c>
      <c r="C13" s="14">
        <v>16.3</v>
      </c>
      <c r="D13" s="14">
        <v>7.3</v>
      </c>
      <c r="E13" s="14">
        <v>5.9</v>
      </c>
      <c r="F13" s="14">
        <v>1.5</v>
      </c>
      <c r="G13" s="14">
        <v>0.03</v>
      </c>
      <c r="H13" s="14">
        <v>2.4500000000000002</v>
      </c>
      <c r="I13" s="14">
        <v>0.85</v>
      </c>
      <c r="J13" s="14">
        <v>89</v>
      </c>
    </row>
    <row r="14" spans="1:10" x14ac:dyDescent="0.3">
      <c r="A14" s="32" t="s">
        <v>101</v>
      </c>
      <c r="B14" s="31"/>
      <c r="C14" s="31"/>
      <c r="D14" s="31"/>
      <c r="E14" s="31"/>
      <c r="F14" s="31"/>
      <c r="G14" s="31"/>
      <c r="H14" s="31"/>
      <c r="I14" s="31"/>
      <c r="J14" s="31"/>
    </row>
  </sheetData>
  <mergeCells count="2">
    <mergeCell ref="A1:J1"/>
    <mergeCell ref="A14:J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20" customWidth="1"/>
    <col min="3" max="9" width="6" customWidth="1"/>
    <col min="10" max="10" width="9" customWidth="1"/>
  </cols>
  <sheetData>
    <row r="1" spans="1:10" ht="28.05" customHeight="1" x14ac:dyDescent="0.3">
      <c r="A1" s="30" t="s">
        <v>102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4" customHeight="1" x14ac:dyDescent="0.3">
      <c r="A2" s="11" t="s">
        <v>0</v>
      </c>
      <c r="B2" s="11" t="s">
        <v>103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104</v>
      </c>
    </row>
    <row r="3" spans="1:10" ht="16.95" customHeight="1" x14ac:dyDescent="0.3">
      <c r="A3" s="4" t="s">
        <v>42</v>
      </c>
      <c r="B3" s="5" t="s">
        <v>83</v>
      </c>
      <c r="C3" s="4">
        <v>6</v>
      </c>
      <c r="D3" s="4">
        <v>5</v>
      </c>
      <c r="E3" s="4">
        <v>0</v>
      </c>
      <c r="F3" s="4">
        <v>1</v>
      </c>
      <c r="G3" s="4">
        <v>20</v>
      </c>
      <c r="H3" s="4">
        <v>5</v>
      </c>
      <c r="I3" s="4">
        <v>15</v>
      </c>
      <c r="J3" s="15">
        <f t="shared" ref="J3:J30" si="0">D3/C3</f>
        <v>0.83333333333333337</v>
      </c>
    </row>
    <row r="4" spans="1:10" ht="16.95" customHeight="1" x14ac:dyDescent="0.3">
      <c r="A4" s="4" t="s">
        <v>42</v>
      </c>
      <c r="B4" s="5" t="s">
        <v>105</v>
      </c>
      <c r="C4" s="4">
        <v>2</v>
      </c>
      <c r="D4" s="4">
        <v>2</v>
      </c>
      <c r="E4" s="4">
        <v>0</v>
      </c>
      <c r="F4" s="4">
        <v>0</v>
      </c>
      <c r="G4" s="4">
        <v>5</v>
      </c>
      <c r="H4" s="4">
        <v>1</v>
      </c>
      <c r="I4" s="4">
        <v>4</v>
      </c>
      <c r="J4" s="15">
        <f t="shared" si="0"/>
        <v>1</v>
      </c>
    </row>
    <row r="5" spans="1:10" ht="16.95" customHeight="1" x14ac:dyDescent="0.3">
      <c r="A5" s="4" t="s">
        <v>42</v>
      </c>
      <c r="B5" s="5" t="s">
        <v>106</v>
      </c>
      <c r="C5" s="4">
        <v>2</v>
      </c>
      <c r="D5" s="4">
        <v>2</v>
      </c>
      <c r="E5" s="4">
        <v>0</v>
      </c>
      <c r="F5" s="4">
        <v>0</v>
      </c>
      <c r="G5" s="4">
        <v>3</v>
      </c>
      <c r="H5" s="4">
        <v>2</v>
      </c>
      <c r="I5" s="4">
        <v>1</v>
      </c>
      <c r="J5" s="15">
        <f t="shared" si="0"/>
        <v>1</v>
      </c>
    </row>
    <row r="6" spans="1:10" ht="16.95" customHeight="1" x14ac:dyDescent="0.3">
      <c r="A6" s="4" t="s">
        <v>42</v>
      </c>
      <c r="B6" s="5" t="s">
        <v>73</v>
      </c>
      <c r="C6" s="4">
        <v>2</v>
      </c>
      <c r="D6" s="4">
        <v>0</v>
      </c>
      <c r="E6" s="4">
        <v>1</v>
      </c>
      <c r="F6" s="4">
        <v>1</v>
      </c>
      <c r="G6" s="4">
        <v>2</v>
      </c>
      <c r="H6" s="4">
        <v>8</v>
      </c>
      <c r="I6" s="4">
        <v>-6</v>
      </c>
      <c r="J6" s="15">
        <f t="shared" si="0"/>
        <v>0</v>
      </c>
    </row>
    <row r="7" spans="1:10" ht="16.95" customHeight="1" x14ac:dyDescent="0.3">
      <c r="A7" s="2" t="s">
        <v>43</v>
      </c>
      <c r="B7" s="3" t="s">
        <v>83</v>
      </c>
      <c r="C7" s="2">
        <v>6</v>
      </c>
      <c r="D7" s="2">
        <v>5</v>
      </c>
      <c r="E7" s="2">
        <v>0</v>
      </c>
      <c r="F7" s="2">
        <v>1</v>
      </c>
      <c r="G7" s="2">
        <v>16</v>
      </c>
      <c r="H7" s="2">
        <v>5</v>
      </c>
      <c r="I7" s="2">
        <v>11</v>
      </c>
      <c r="J7" s="16">
        <f t="shared" si="0"/>
        <v>0.83333333333333337</v>
      </c>
    </row>
    <row r="8" spans="1:10" ht="16.95" customHeight="1" x14ac:dyDescent="0.3">
      <c r="A8" s="2" t="s">
        <v>43</v>
      </c>
      <c r="B8" s="3" t="s">
        <v>105</v>
      </c>
      <c r="C8" s="2">
        <v>2</v>
      </c>
      <c r="D8" s="2">
        <v>1</v>
      </c>
      <c r="E8" s="2">
        <v>0</v>
      </c>
      <c r="F8" s="2">
        <v>1</v>
      </c>
      <c r="G8" s="2">
        <v>5</v>
      </c>
      <c r="H8" s="2">
        <v>4</v>
      </c>
      <c r="I8" s="2">
        <v>1</v>
      </c>
      <c r="J8" s="16">
        <f t="shared" si="0"/>
        <v>0.5</v>
      </c>
    </row>
    <row r="9" spans="1:10" ht="16.95" customHeight="1" x14ac:dyDescent="0.3">
      <c r="A9" s="2" t="s">
        <v>43</v>
      </c>
      <c r="B9" s="3" t="s">
        <v>106</v>
      </c>
      <c r="C9" s="2">
        <v>2</v>
      </c>
      <c r="D9" s="2">
        <v>0</v>
      </c>
      <c r="E9" s="2">
        <v>1</v>
      </c>
      <c r="F9" s="2">
        <v>1</v>
      </c>
      <c r="G9" s="2">
        <v>2</v>
      </c>
      <c r="H9" s="2">
        <v>6</v>
      </c>
      <c r="I9" s="2">
        <v>-4</v>
      </c>
      <c r="J9" s="16">
        <f t="shared" si="0"/>
        <v>0</v>
      </c>
    </row>
    <row r="10" spans="1:10" ht="16.95" customHeight="1" x14ac:dyDescent="0.3">
      <c r="A10" s="4" t="s">
        <v>44</v>
      </c>
      <c r="B10" s="5" t="s">
        <v>83</v>
      </c>
      <c r="C10" s="4">
        <v>6</v>
      </c>
      <c r="D10" s="4">
        <v>4</v>
      </c>
      <c r="E10" s="4">
        <v>2</v>
      </c>
      <c r="F10" s="4">
        <v>0</v>
      </c>
      <c r="G10" s="4">
        <v>13</v>
      </c>
      <c r="H10" s="4">
        <v>4</v>
      </c>
      <c r="I10" s="4">
        <v>9</v>
      </c>
      <c r="J10" s="15">
        <f t="shared" si="0"/>
        <v>0.66666666666666663</v>
      </c>
    </row>
    <row r="11" spans="1:10" ht="16.95" customHeight="1" x14ac:dyDescent="0.3">
      <c r="A11" s="4" t="s">
        <v>44</v>
      </c>
      <c r="B11" s="5" t="s">
        <v>105</v>
      </c>
      <c r="C11" s="4">
        <v>2</v>
      </c>
      <c r="D11" s="4">
        <v>2</v>
      </c>
      <c r="E11" s="4">
        <v>0</v>
      </c>
      <c r="F11" s="4">
        <v>0</v>
      </c>
      <c r="G11" s="4">
        <v>4</v>
      </c>
      <c r="H11" s="4">
        <v>1</v>
      </c>
      <c r="I11" s="4">
        <v>3</v>
      </c>
      <c r="J11" s="15">
        <f t="shared" si="0"/>
        <v>1</v>
      </c>
    </row>
    <row r="12" spans="1:10" ht="16.95" customHeight="1" x14ac:dyDescent="0.3">
      <c r="A12" s="4" t="s">
        <v>44</v>
      </c>
      <c r="B12" s="5" t="s">
        <v>106</v>
      </c>
      <c r="C12" s="4">
        <v>2</v>
      </c>
      <c r="D12" s="4">
        <v>0</v>
      </c>
      <c r="E12" s="4">
        <v>0</v>
      </c>
      <c r="F12" s="4">
        <v>2</v>
      </c>
      <c r="G12" s="4">
        <v>2</v>
      </c>
      <c r="H12" s="4">
        <v>7</v>
      </c>
      <c r="I12" s="4">
        <v>-5</v>
      </c>
      <c r="J12" s="15">
        <f t="shared" si="0"/>
        <v>0</v>
      </c>
    </row>
    <row r="13" spans="1:10" ht="16.95" customHeight="1" x14ac:dyDescent="0.3">
      <c r="A13" s="2" t="s">
        <v>47</v>
      </c>
      <c r="B13" s="3" t="s">
        <v>83</v>
      </c>
      <c r="C13" s="2">
        <v>6</v>
      </c>
      <c r="D13" s="2">
        <v>5</v>
      </c>
      <c r="E13" s="2">
        <v>1</v>
      </c>
      <c r="F13" s="2">
        <v>0</v>
      </c>
      <c r="G13" s="2">
        <v>14</v>
      </c>
      <c r="H13" s="2">
        <v>4</v>
      </c>
      <c r="I13" s="2">
        <v>10</v>
      </c>
      <c r="J13" s="16">
        <f t="shared" si="0"/>
        <v>0.83333333333333337</v>
      </c>
    </row>
    <row r="14" spans="1:10" ht="16.95" customHeight="1" x14ac:dyDescent="0.3">
      <c r="A14" s="2" t="s">
        <v>47</v>
      </c>
      <c r="B14" s="3" t="s">
        <v>105</v>
      </c>
      <c r="C14" s="2">
        <v>2</v>
      </c>
      <c r="D14" s="2">
        <v>2</v>
      </c>
      <c r="E14" s="2">
        <v>0</v>
      </c>
      <c r="F14" s="2">
        <v>0</v>
      </c>
      <c r="G14" s="2">
        <v>5</v>
      </c>
      <c r="H14" s="2">
        <v>1</v>
      </c>
      <c r="I14" s="2">
        <v>4</v>
      </c>
      <c r="J14" s="16">
        <f t="shared" si="0"/>
        <v>1</v>
      </c>
    </row>
    <row r="15" spans="1:10" ht="16.95" customHeight="1" x14ac:dyDescent="0.3">
      <c r="A15" s="2" t="s">
        <v>47</v>
      </c>
      <c r="B15" s="3" t="s">
        <v>106</v>
      </c>
      <c r="C15" s="2">
        <v>2</v>
      </c>
      <c r="D15" s="2">
        <v>2</v>
      </c>
      <c r="E15" s="2">
        <v>0</v>
      </c>
      <c r="F15" s="2">
        <v>0</v>
      </c>
      <c r="G15" s="2">
        <v>3</v>
      </c>
      <c r="H15" s="2">
        <v>1</v>
      </c>
      <c r="I15" s="2">
        <v>2</v>
      </c>
      <c r="J15" s="16">
        <f t="shared" si="0"/>
        <v>1</v>
      </c>
    </row>
    <row r="16" spans="1:10" ht="16.95" customHeight="1" x14ac:dyDescent="0.3">
      <c r="A16" s="2" t="s">
        <v>47</v>
      </c>
      <c r="B16" s="3" t="s">
        <v>73</v>
      </c>
      <c r="C16" s="2">
        <v>2</v>
      </c>
      <c r="D16" s="2">
        <v>0</v>
      </c>
      <c r="E16" s="2">
        <v>1</v>
      </c>
      <c r="F16" s="2">
        <v>1</v>
      </c>
      <c r="G16" s="2">
        <v>0</v>
      </c>
      <c r="H16" s="2">
        <v>3</v>
      </c>
      <c r="I16" s="2">
        <v>-3</v>
      </c>
      <c r="J16" s="16">
        <f t="shared" si="0"/>
        <v>0</v>
      </c>
    </row>
    <row r="17" spans="1:10" ht="16.95" customHeight="1" x14ac:dyDescent="0.3">
      <c r="A17" s="4" t="s">
        <v>48</v>
      </c>
      <c r="B17" s="5" t="s">
        <v>83</v>
      </c>
      <c r="C17" s="4">
        <v>6</v>
      </c>
      <c r="D17" s="4">
        <v>4</v>
      </c>
      <c r="E17" s="4">
        <v>0</v>
      </c>
      <c r="F17" s="4">
        <v>2</v>
      </c>
      <c r="G17" s="4">
        <v>14</v>
      </c>
      <c r="H17" s="4">
        <v>8</v>
      </c>
      <c r="I17" s="4">
        <v>6</v>
      </c>
      <c r="J17" s="15">
        <f t="shared" si="0"/>
        <v>0.66666666666666663</v>
      </c>
    </row>
    <row r="18" spans="1:10" ht="16.95" customHeight="1" x14ac:dyDescent="0.3">
      <c r="A18" s="4" t="s">
        <v>48</v>
      </c>
      <c r="B18" s="5" t="s">
        <v>106</v>
      </c>
      <c r="C18" s="4">
        <v>1</v>
      </c>
      <c r="D18" s="4">
        <v>0</v>
      </c>
      <c r="E18" s="4">
        <v>1</v>
      </c>
      <c r="F18" s="4">
        <v>0</v>
      </c>
      <c r="G18" s="4">
        <v>4</v>
      </c>
      <c r="H18" s="4">
        <v>8</v>
      </c>
      <c r="I18" s="4">
        <v>-4</v>
      </c>
      <c r="J18" s="15">
        <f t="shared" si="0"/>
        <v>0</v>
      </c>
    </row>
    <row r="19" spans="1:10" ht="16.95" customHeight="1" x14ac:dyDescent="0.3">
      <c r="A19" s="4" t="s">
        <v>56</v>
      </c>
      <c r="B19" s="5" t="s">
        <v>83</v>
      </c>
      <c r="C19" s="4">
        <v>6</v>
      </c>
      <c r="D19" s="4">
        <v>3</v>
      </c>
      <c r="E19" s="4">
        <v>2</v>
      </c>
      <c r="F19" s="4">
        <v>1</v>
      </c>
      <c r="G19" s="4">
        <v>13</v>
      </c>
      <c r="H19" s="4">
        <v>9</v>
      </c>
      <c r="I19" s="4">
        <v>4</v>
      </c>
      <c r="J19" s="15">
        <f t="shared" si="0"/>
        <v>0.5</v>
      </c>
    </row>
    <row r="20" spans="1:10" ht="16.95" customHeight="1" x14ac:dyDescent="0.3">
      <c r="A20" s="4" t="s">
        <v>56</v>
      </c>
      <c r="B20" s="5" t="s">
        <v>105</v>
      </c>
      <c r="C20" s="4">
        <v>2</v>
      </c>
      <c r="D20" s="4">
        <v>2</v>
      </c>
      <c r="E20" s="4">
        <v>0</v>
      </c>
      <c r="F20" s="4">
        <v>0</v>
      </c>
      <c r="G20" s="4">
        <v>5</v>
      </c>
      <c r="H20" s="4">
        <v>3</v>
      </c>
      <c r="I20" s="4">
        <v>2</v>
      </c>
      <c r="J20" s="15">
        <f t="shared" si="0"/>
        <v>1</v>
      </c>
    </row>
    <row r="21" spans="1:10" ht="16.95" customHeight="1" x14ac:dyDescent="0.3">
      <c r="A21" s="4" t="s">
        <v>56</v>
      </c>
      <c r="B21" s="5" t="s">
        <v>106</v>
      </c>
      <c r="C21" s="4">
        <v>2</v>
      </c>
      <c r="D21" s="4">
        <v>0</v>
      </c>
      <c r="E21" s="4">
        <v>0</v>
      </c>
      <c r="F21" s="4">
        <v>2</v>
      </c>
      <c r="G21" s="4">
        <v>4</v>
      </c>
      <c r="H21" s="4">
        <v>6</v>
      </c>
      <c r="I21" s="4">
        <v>-2</v>
      </c>
      <c r="J21" s="15">
        <f t="shared" si="0"/>
        <v>0</v>
      </c>
    </row>
    <row r="22" spans="1:10" ht="16.95" customHeight="1" x14ac:dyDescent="0.3">
      <c r="A22" s="2" t="s">
        <v>57</v>
      </c>
      <c r="B22" s="3" t="s">
        <v>83</v>
      </c>
      <c r="C22" s="2">
        <v>6</v>
      </c>
      <c r="D22" s="2">
        <v>2</v>
      </c>
      <c r="E22" s="2">
        <v>1</v>
      </c>
      <c r="F22" s="2">
        <v>3</v>
      </c>
      <c r="G22" s="2">
        <v>13</v>
      </c>
      <c r="H22" s="2">
        <v>12</v>
      </c>
      <c r="I22" s="2">
        <v>1</v>
      </c>
      <c r="J22" s="16">
        <f t="shared" si="0"/>
        <v>0.33333333333333331</v>
      </c>
    </row>
    <row r="23" spans="1:10" ht="16.95" customHeight="1" x14ac:dyDescent="0.3">
      <c r="A23" s="2" t="s">
        <v>57</v>
      </c>
      <c r="B23" s="3" t="s">
        <v>105</v>
      </c>
      <c r="C23" s="2">
        <v>2</v>
      </c>
      <c r="D23" s="2">
        <v>1</v>
      </c>
      <c r="E23" s="2">
        <v>0</v>
      </c>
      <c r="F23" s="2">
        <v>1</v>
      </c>
      <c r="G23" s="2">
        <v>6</v>
      </c>
      <c r="H23" s="2">
        <v>8</v>
      </c>
      <c r="I23" s="2">
        <v>-2</v>
      </c>
      <c r="J23" s="16">
        <f t="shared" si="0"/>
        <v>0.5</v>
      </c>
    </row>
    <row r="24" spans="1:10" ht="16.95" customHeight="1" x14ac:dyDescent="0.3">
      <c r="A24" s="4" t="s">
        <v>58</v>
      </c>
      <c r="B24" s="5" t="s">
        <v>83</v>
      </c>
      <c r="C24" s="4">
        <v>8</v>
      </c>
      <c r="D24" s="4">
        <v>5</v>
      </c>
      <c r="E24" s="4">
        <v>2</v>
      </c>
      <c r="F24" s="4">
        <v>1</v>
      </c>
      <c r="G24" s="4">
        <v>22</v>
      </c>
      <c r="H24" s="4">
        <v>9</v>
      </c>
      <c r="I24" s="4">
        <v>13</v>
      </c>
      <c r="J24" s="15">
        <f t="shared" si="0"/>
        <v>0.625</v>
      </c>
    </row>
    <row r="25" spans="1:10" ht="16.95" customHeight="1" x14ac:dyDescent="0.3">
      <c r="A25" s="4" t="s">
        <v>58</v>
      </c>
      <c r="B25" s="5" t="s">
        <v>105</v>
      </c>
      <c r="C25" s="4">
        <v>2</v>
      </c>
      <c r="D25" s="4">
        <v>2</v>
      </c>
      <c r="E25" s="4">
        <v>0</v>
      </c>
      <c r="F25" s="4">
        <v>0</v>
      </c>
      <c r="G25" s="4">
        <v>6</v>
      </c>
      <c r="H25" s="4">
        <v>3</v>
      </c>
      <c r="I25" s="4">
        <v>3</v>
      </c>
      <c r="J25" s="15">
        <f t="shared" si="0"/>
        <v>1</v>
      </c>
    </row>
    <row r="26" spans="1:10" ht="16.95" customHeight="1" x14ac:dyDescent="0.3">
      <c r="A26" s="4" t="s">
        <v>58</v>
      </c>
      <c r="B26" s="5" t="s">
        <v>106</v>
      </c>
      <c r="C26" s="4">
        <v>2</v>
      </c>
      <c r="D26" s="4">
        <v>1</v>
      </c>
      <c r="E26" s="4">
        <v>1</v>
      </c>
      <c r="F26" s="4">
        <v>0</v>
      </c>
      <c r="G26" s="4">
        <v>5</v>
      </c>
      <c r="H26" s="4">
        <v>5</v>
      </c>
      <c r="I26" s="4">
        <v>0</v>
      </c>
      <c r="J26" s="15">
        <f t="shared" si="0"/>
        <v>0.5</v>
      </c>
    </row>
    <row r="27" spans="1:10" ht="16.95" customHeight="1" x14ac:dyDescent="0.3">
      <c r="A27" s="4" t="s">
        <v>58</v>
      </c>
      <c r="B27" s="5" t="s">
        <v>73</v>
      </c>
      <c r="C27" s="4">
        <v>2</v>
      </c>
      <c r="D27" s="4">
        <v>0</v>
      </c>
      <c r="E27" s="4">
        <v>0</v>
      </c>
      <c r="F27" s="4">
        <v>2</v>
      </c>
      <c r="G27" s="4">
        <v>2</v>
      </c>
      <c r="H27" s="4">
        <v>5</v>
      </c>
      <c r="I27" s="4">
        <v>-3</v>
      </c>
      <c r="J27" s="15">
        <f t="shared" si="0"/>
        <v>0</v>
      </c>
    </row>
    <row r="28" spans="1:10" ht="16.95" customHeight="1" x14ac:dyDescent="0.3">
      <c r="A28" s="14" t="s">
        <v>61</v>
      </c>
      <c r="B28" s="17" t="s">
        <v>107</v>
      </c>
      <c r="C28" s="14">
        <v>8</v>
      </c>
      <c r="D28" s="14">
        <v>6</v>
      </c>
      <c r="E28" s="14">
        <v>0</v>
      </c>
      <c r="F28" s="14">
        <v>2</v>
      </c>
      <c r="G28" s="14">
        <v>24</v>
      </c>
      <c r="H28" s="14">
        <v>10</v>
      </c>
      <c r="I28" s="14">
        <v>14</v>
      </c>
      <c r="J28" s="16">
        <f t="shared" si="0"/>
        <v>0.75</v>
      </c>
    </row>
    <row r="29" spans="1:10" ht="16.95" customHeight="1" x14ac:dyDescent="0.3">
      <c r="A29" s="14" t="s">
        <v>61</v>
      </c>
      <c r="B29" s="17" t="s">
        <v>105</v>
      </c>
      <c r="C29" s="14">
        <v>2</v>
      </c>
      <c r="D29" s="14">
        <v>2</v>
      </c>
      <c r="E29" s="14">
        <v>0</v>
      </c>
      <c r="F29" s="14">
        <v>0</v>
      </c>
      <c r="G29" s="14">
        <v>5</v>
      </c>
      <c r="H29" s="14">
        <v>2</v>
      </c>
      <c r="I29" s="14">
        <v>3</v>
      </c>
      <c r="J29" s="16">
        <f t="shared" si="0"/>
        <v>1</v>
      </c>
    </row>
    <row r="30" spans="1:10" ht="16.95" customHeight="1" x14ac:dyDescent="0.3">
      <c r="A30" s="14" t="s">
        <v>61</v>
      </c>
      <c r="B30" s="17" t="s">
        <v>106</v>
      </c>
      <c r="C30" s="14">
        <v>2</v>
      </c>
      <c r="D30" s="14">
        <v>0</v>
      </c>
      <c r="E30" s="14">
        <v>1</v>
      </c>
      <c r="F30" s="14">
        <v>1</v>
      </c>
      <c r="G30" s="14">
        <v>2</v>
      </c>
      <c r="H30" s="14">
        <v>4</v>
      </c>
      <c r="I30" s="14">
        <v>-2</v>
      </c>
      <c r="J30" s="16">
        <f t="shared" si="0"/>
        <v>0</v>
      </c>
    </row>
    <row r="31" spans="1:10" x14ac:dyDescent="0.3">
      <c r="A31" s="32" t="s">
        <v>108</v>
      </c>
      <c r="B31" s="31"/>
      <c r="C31" s="31"/>
      <c r="D31" s="31"/>
      <c r="E31" s="31"/>
      <c r="F31" s="31"/>
      <c r="G31" s="31"/>
      <c r="H31" s="31"/>
      <c r="I31" s="31"/>
      <c r="J31" s="31"/>
    </row>
  </sheetData>
  <mergeCells count="2">
    <mergeCell ref="A1:J1"/>
    <mergeCell ref="A31:J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showGridLines="0" workbookViewId="0"/>
  </sheetViews>
  <sheetFormatPr baseColWidth="10" defaultColWidth="8.88671875" defaultRowHeight="14.4" x14ac:dyDescent="0.3"/>
  <cols>
    <col min="1" max="1" width="40" customWidth="1"/>
    <col min="2" max="2" width="4" customWidth="1"/>
    <col min="3" max="3" width="16" customWidth="1"/>
    <col min="4" max="4" width="4" customWidth="1"/>
    <col min="5" max="5" width="28" customWidth="1"/>
  </cols>
  <sheetData>
    <row r="1" spans="1:6" ht="28.05" customHeight="1" x14ac:dyDescent="0.3">
      <c r="A1" s="33" t="s">
        <v>109</v>
      </c>
      <c r="B1" s="31"/>
      <c r="C1" s="31"/>
      <c r="D1" s="31"/>
      <c r="E1" s="31"/>
      <c r="F1" s="31"/>
    </row>
    <row r="3" spans="1:6" ht="19.95" customHeight="1" x14ac:dyDescent="0.3">
      <c r="A3" s="34" t="s">
        <v>110</v>
      </c>
      <c r="B3" s="35"/>
      <c r="C3" s="35"/>
      <c r="D3" s="35"/>
      <c r="E3" s="35"/>
    </row>
    <row r="4" spans="1:6" ht="19.95" customHeight="1" x14ac:dyDescent="0.3">
      <c r="A4" s="19" t="s">
        <v>111</v>
      </c>
      <c r="B4" s="18"/>
      <c r="C4" s="20">
        <v>25</v>
      </c>
      <c r="D4" s="18"/>
      <c r="E4" s="18"/>
    </row>
    <row r="5" spans="1:6" ht="19.95" customHeight="1" x14ac:dyDescent="0.3">
      <c r="A5" s="21" t="s">
        <v>112</v>
      </c>
      <c r="B5" s="18"/>
      <c r="C5" s="22">
        <v>12</v>
      </c>
      <c r="D5" s="18"/>
      <c r="E5" s="23" t="s">
        <v>113</v>
      </c>
    </row>
    <row r="6" spans="1:6" ht="19.95" customHeight="1" x14ac:dyDescent="0.3">
      <c r="A6" s="19" t="s">
        <v>114</v>
      </c>
      <c r="B6" s="18"/>
      <c r="C6" s="20">
        <v>950</v>
      </c>
      <c r="D6" s="18"/>
      <c r="E6" s="18"/>
    </row>
    <row r="7" spans="1:6" ht="19.95" customHeight="1" x14ac:dyDescent="0.3">
      <c r="A7" s="21" t="s">
        <v>115</v>
      </c>
      <c r="B7" s="18"/>
      <c r="C7" s="22">
        <v>622</v>
      </c>
      <c r="D7" s="18"/>
      <c r="E7" s="18"/>
    </row>
    <row r="8" spans="1:6" ht="19.95" customHeight="1" x14ac:dyDescent="0.3">
      <c r="A8" s="19" t="s">
        <v>116</v>
      </c>
      <c r="B8" s="18"/>
      <c r="C8" s="20">
        <v>183</v>
      </c>
      <c r="D8" s="18"/>
      <c r="E8" s="18"/>
    </row>
    <row r="9" spans="1:6" ht="19.95" customHeight="1" x14ac:dyDescent="0.3">
      <c r="A9" s="21" t="s">
        <v>117</v>
      </c>
      <c r="B9" s="18"/>
      <c r="C9" s="22">
        <v>145</v>
      </c>
      <c r="D9" s="18"/>
      <c r="E9" s="18"/>
    </row>
    <row r="10" spans="1:6" ht="19.95" customHeight="1" x14ac:dyDescent="0.3">
      <c r="A10" s="19" t="s">
        <v>118</v>
      </c>
      <c r="B10" s="18"/>
      <c r="C10" s="24">
        <f>C6/C5</f>
        <v>79.166666666666671</v>
      </c>
      <c r="D10" s="18"/>
      <c r="E10" s="18"/>
    </row>
    <row r="11" spans="1:6" ht="19.95" customHeight="1" x14ac:dyDescent="0.3">
      <c r="A11" s="21" t="s">
        <v>119</v>
      </c>
      <c r="B11" s="18"/>
      <c r="C11" s="22">
        <v>2293</v>
      </c>
      <c r="D11" s="18"/>
      <c r="E11" s="18"/>
    </row>
    <row r="12" spans="1:6" ht="19.95" customHeight="1" x14ac:dyDescent="0.3">
      <c r="A12" s="19" t="s">
        <v>120</v>
      </c>
      <c r="B12" s="18"/>
      <c r="C12" s="20">
        <v>828</v>
      </c>
      <c r="D12" s="18"/>
      <c r="E12" s="18"/>
    </row>
    <row r="13" spans="1:6" ht="19.95" customHeight="1" x14ac:dyDescent="0.3">
      <c r="A13" s="21" t="s">
        <v>121</v>
      </c>
      <c r="B13" s="18"/>
      <c r="C13" s="22">
        <f>C10-C11</f>
        <v>-2213.8333333333335</v>
      </c>
      <c r="D13" s="18"/>
      <c r="E13" s="18"/>
    </row>
    <row r="14" spans="1:6" ht="19.95" customHeight="1" x14ac:dyDescent="0.3">
      <c r="A14" s="19" t="s">
        <v>122</v>
      </c>
      <c r="B14" s="18"/>
      <c r="C14" s="25">
        <f>C10/C5</f>
        <v>6.5972222222222223</v>
      </c>
      <c r="D14" s="18"/>
      <c r="E14" s="18"/>
    </row>
    <row r="15" spans="1:6" ht="19.95" customHeight="1" x14ac:dyDescent="0.3">
      <c r="A15" s="21" t="s">
        <v>123</v>
      </c>
      <c r="B15" s="18"/>
      <c r="C15" s="26">
        <f>C11/C5</f>
        <v>191.08333333333334</v>
      </c>
      <c r="D15" s="18"/>
      <c r="E15" s="18"/>
    </row>
    <row r="16" spans="1:6" ht="19.95" customHeight="1" x14ac:dyDescent="0.3">
      <c r="A16" s="19" t="s">
        <v>124</v>
      </c>
      <c r="B16" s="18"/>
      <c r="C16" s="20">
        <v>116</v>
      </c>
      <c r="D16" s="18"/>
      <c r="E16" s="27" t="s">
        <v>43</v>
      </c>
    </row>
    <row r="17" spans="1:5" ht="19.95" customHeight="1" x14ac:dyDescent="0.3">
      <c r="A17" s="21" t="s">
        <v>125</v>
      </c>
      <c r="B17" s="18"/>
      <c r="C17" s="22">
        <v>100</v>
      </c>
      <c r="D17" s="18"/>
      <c r="E17" s="23" t="s">
        <v>34</v>
      </c>
    </row>
    <row r="18" spans="1:5" ht="19.95" customHeight="1" x14ac:dyDescent="0.3">
      <c r="A18" s="19" t="s">
        <v>126</v>
      </c>
      <c r="B18" s="18"/>
      <c r="C18" s="20">
        <v>56</v>
      </c>
      <c r="D18" s="18"/>
      <c r="E18" s="27" t="s">
        <v>21</v>
      </c>
    </row>
    <row r="19" spans="1:5" ht="19.95" customHeight="1" x14ac:dyDescent="0.3">
      <c r="A19" s="34" t="s">
        <v>127</v>
      </c>
      <c r="B19" s="35"/>
      <c r="C19" s="35"/>
      <c r="D19" s="35"/>
      <c r="E19" s="35"/>
    </row>
    <row r="20" spans="1:5" ht="19.95" customHeight="1" x14ac:dyDescent="0.3">
      <c r="A20" s="19" t="s">
        <v>128</v>
      </c>
      <c r="B20" s="18"/>
      <c r="C20" s="20">
        <v>26</v>
      </c>
      <c r="D20" s="18"/>
      <c r="E20" s="18"/>
    </row>
    <row r="21" spans="1:5" ht="19.95" customHeight="1" x14ac:dyDescent="0.3">
      <c r="A21" s="21" t="s">
        <v>129</v>
      </c>
      <c r="B21" s="18"/>
      <c r="C21" s="22">
        <v>5</v>
      </c>
      <c r="D21" s="18"/>
      <c r="E21" s="23" t="s">
        <v>130</v>
      </c>
    </row>
    <row r="22" spans="1:5" ht="19.95" customHeight="1" x14ac:dyDescent="0.3">
      <c r="A22" s="19" t="s">
        <v>131</v>
      </c>
      <c r="B22" s="18"/>
      <c r="C22" s="20">
        <v>7</v>
      </c>
      <c r="D22" s="18"/>
      <c r="E22" s="27" t="s">
        <v>132</v>
      </c>
    </row>
    <row r="23" spans="1:5" ht="19.95" customHeight="1" x14ac:dyDescent="0.3">
      <c r="A23" s="21" t="s">
        <v>133</v>
      </c>
      <c r="B23" s="18"/>
      <c r="C23" s="22">
        <v>285</v>
      </c>
      <c r="D23" s="18"/>
      <c r="E23" s="18"/>
    </row>
    <row r="24" spans="1:5" ht="19.95" customHeight="1" x14ac:dyDescent="0.3">
      <c r="A24" s="19" t="s">
        <v>134</v>
      </c>
      <c r="B24" s="18"/>
      <c r="C24" s="20">
        <v>165</v>
      </c>
      <c r="D24" s="18"/>
      <c r="E24" s="18"/>
    </row>
    <row r="25" spans="1:5" ht="19.95" customHeight="1" x14ac:dyDescent="0.3">
      <c r="A25" s="21" t="s">
        <v>135</v>
      </c>
      <c r="B25" s="18"/>
      <c r="C25" s="22">
        <v>54</v>
      </c>
      <c r="D25" s="18"/>
      <c r="E25" s="18"/>
    </row>
    <row r="26" spans="1:5" ht="19.95" customHeight="1" x14ac:dyDescent="0.3">
      <c r="A26" s="19" t="s">
        <v>136</v>
      </c>
      <c r="B26" s="18"/>
      <c r="C26" s="20">
        <v>66</v>
      </c>
      <c r="D26" s="18"/>
      <c r="E26" s="18"/>
    </row>
    <row r="27" spans="1:5" ht="19.95" customHeight="1" x14ac:dyDescent="0.3">
      <c r="A27" s="21" t="s">
        <v>137</v>
      </c>
      <c r="B27" s="18"/>
      <c r="C27" s="28">
        <f>C22/C21</f>
        <v>1.4</v>
      </c>
      <c r="D27" s="18"/>
      <c r="E27" s="18"/>
    </row>
    <row r="28" spans="1:5" ht="19.95" customHeight="1" x14ac:dyDescent="0.3">
      <c r="A28" s="19" t="s">
        <v>138</v>
      </c>
      <c r="B28" s="18"/>
      <c r="C28" s="20">
        <v>540</v>
      </c>
      <c r="D28" s="18"/>
      <c r="E28" s="18"/>
    </row>
    <row r="29" spans="1:5" ht="19.95" customHeight="1" x14ac:dyDescent="0.3">
      <c r="A29" s="21" t="s">
        <v>139</v>
      </c>
      <c r="B29" s="18"/>
      <c r="C29" s="22">
        <v>338</v>
      </c>
      <c r="D29" s="18"/>
      <c r="E29" s="18"/>
    </row>
    <row r="30" spans="1:5" ht="19.95" customHeight="1" x14ac:dyDescent="0.3">
      <c r="A30" s="34" t="s">
        <v>140</v>
      </c>
      <c r="B30" s="35"/>
      <c r="C30" s="35"/>
      <c r="D30" s="35"/>
      <c r="E30" s="35"/>
    </row>
    <row r="31" spans="1:5" ht="19.95" customHeight="1" x14ac:dyDescent="0.3">
      <c r="A31" s="21" t="s">
        <v>141</v>
      </c>
      <c r="B31" s="18"/>
      <c r="C31" s="22" t="s">
        <v>29</v>
      </c>
      <c r="D31" s="18"/>
      <c r="E31" s="23" t="s">
        <v>142</v>
      </c>
    </row>
    <row r="32" spans="1:5" ht="19.95" customHeight="1" x14ac:dyDescent="0.3">
      <c r="A32" s="19" t="s">
        <v>143</v>
      </c>
      <c r="B32" s="18"/>
      <c r="C32" s="20" t="s">
        <v>54</v>
      </c>
      <c r="D32" s="18"/>
      <c r="E32" s="27" t="s">
        <v>144</v>
      </c>
    </row>
    <row r="33" spans="1:5" ht="19.95" customHeight="1" x14ac:dyDescent="0.3">
      <c r="A33" s="21" t="s">
        <v>145</v>
      </c>
      <c r="B33" s="18"/>
      <c r="C33" s="22" t="s">
        <v>146</v>
      </c>
      <c r="D33" s="18"/>
      <c r="E33" s="18"/>
    </row>
  </sheetData>
  <mergeCells count="4">
    <mergeCell ref="A30:E30"/>
    <mergeCell ref="A19:E19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LaLiga Histórico</vt:lpstr>
      <vt:lpstr>Champions League</vt:lpstr>
      <vt:lpstr>Stats Avanzadas</vt:lpstr>
      <vt:lpstr>UCL Stats por Fase</vt:lpstr>
      <vt:lpstr>Resumen 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Vladimir Sagredo Figueroa (Alumno)</cp:lastModifiedBy>
  <dcterms:created xsi:type="dcterms:W3CDTF">2026-04-15T23:22:36Z</dcterms:created>
  <dcterms:modified xsi:type="dcterms:W3CDTF">2026-04-16T16:42:54Z</dcterms:modified>
</cp:coreProperties>
</file>